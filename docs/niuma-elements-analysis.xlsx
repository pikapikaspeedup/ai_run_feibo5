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场景参数" sheetId="2" state="visible" r:id="rId2"/>
    <sheet xmlns:r="http://schemas.openxmlformats.org/officeDocument/2006/relationships" name="主武器" sheetId="3" state="visible" r:id="rId3"/>
    <sheet xmlns:r="http://schemas.openxmlformats.org/officeDocument/2006/relationships" name="传说武器" sheetId="4" state="visible" r:id="rId4"/>
    <sheet xmlns:r="http://schemas.openxmlformats.org/officeDocument/2006/relationships" name="副武器" sheetId="5" state="visible" r:id="rId5"/>
    <sheet xmlns:r="http://schemas.openxmlformats.org/officeDocument/2006/relationships" name="主动技能" sheetId="6" state="visible" r:id="rId6"/>
    <sheet xmlns:r="http://schemas.openxmlformats.org/officeDocument/2006/relationships" name="被动技能" sheetId="7" state="visible" r:id="rId7"/>
    <sheet xmlns:r="http://schemas.openxmlformats.org/officeDocument/2006/relationships" name="技术模组" sheetId="8" state="visible" r:id="rId8"/>
    <sheet xmlns:r="http://schemas.openxmlformats.org/officeDocument/2006/relationships" name="蒸馏池" sheetId="9" state="visible" r:id="rId9"/>
    <sheet xmlns:r="http://schemas.openxmlformats.org/officeDocument/2006/relationships" name="诅咒" sheetId="10" state="visible" r:id="rId10"/>
    <sheet xmlns:r="http://schemas.openxmlformats.org/officeDocument/2006/relationships" name="Proc 效果" sheetId="11" state="visible" r:id="rId11"/>
    <sheet xmlns:r="http://schemas.openxmlformats.org/officeDocument/2006/relationships" name="消耗品" sheetId="12" state="visible" r:id="rId12"/>
    <sheet xmlns:r="http://schemas.openxmlformats.org/officeDocument/2006/relationships" name="觉醒配方" sheetId="13" state="visible" r:id="rId13"/>
    <sheet xmlns:r="http://schemas.openxmlformats.org/officeDocument/2006/relationships" name="精英怪" sheetId="14" state="visible" r:id="rId14"/>
    <sheet xmlns:r="http://schemas.openxmlformats.org/officeDocument/2006/relationships" name="杂鱼" sheetId="15" state="visible" r:id="rId15"/>
    <sheet xmlns:r="http://schemas.openxmlformats.org/officeDocument/2006/relationships" name="失衡分析" sheetId="16" state="visible" r:id="rId16"/>
    <sheet xmlns:r="http://schemas.openxmlformats.org/officeDocument/2006/relationships" name="公式发现的Bug" sheetId="17" state="visible" r:id="rId17"/>
  </sheets>
  <definedNames>
    <definedName name="pl_lvl">场景参数!$C$4</definedName>
    <definedName name="pl_techN">场景参数!$C$5</definedName>
    <definedName name="pl_subN">场景参数!$C$6</definedName>
    <definedName name="pl_dstN">场景参数!$C$7</definedName>
    <definedName name="pl_leg">场景参数!$C$8</definedName>
    <definedName name="pl_dmg">场景参数!$C$9</definedName>
    <definedName name="pl_fireRate">场景参数!$C$10</definedName>
    <definedName name="pl_multishot">场景参数!$C$11</definedName>
    <definedName name="pl_echoMult">场景参数!$C$12</definedName>
    <definedName name="pl_crit">场景参数!$C$13</definedName>
    <definedName name="pl_range">场景参数!$C$14</definedName>
    <definedName name="pl_dmgTaken">场景参数!$C$15</definedName>
    <definedName name="pl_lvlWeapon">场景参数!$C$17</definedName>
    <definedName name="pl_lvlMult">场景参数!$C$18</definedName>
    <definedName name="boss_hp">场景参数!$C$19</definedName>
    <definedName name="boss_rageT">场景参数!$C$20</definedName>
    <definedName name="boss_shieldPct">场景参数!$C$21</definedName>
    <definedName name="boss_dmgTakenRage">场景参数!$C$23</definedName>
    <definedName name="levelNeed_base">场景参数!$C$25</definedName>
    <definedName name="trial_xp_disc">场景参数!$C$26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</font>
    <font>
      <name val="Arial"/>
    </font>
    <font>
      <name val="Arial"/>
      <b val="1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1F4E78"/>
    </font>
    <font>
      <name val="Arial"/>
      <color rgb="00008000"/>
      <sz val="10"/>
    </font>
    <font>
      <name val="Arial"/>
      <b val="1"/>
      <color rgb="00CC0000"/>
      <sz val="10"/>
    </font>
    <font>
      <name val="Arial"/>
      <b val="1"/>
      <color rgb="00CC0000"/>
      <sz val="13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C1EE"/>
      </patternFill>
    </fill>
    <fill>
      <patternFill patternType="solid">
        <fgColor rgb="00FFC5A5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164" fontId="10" fillId="0" borderId="0" pivotButton="0" quotePrefix="0" xfId="0"/>
    <xf numFmtId="0" fontId="10" fillId="0" borderId="0" pivotButton="0" quotePrefix="0" xfId="0"/>
    <xf numFmtId="2" fontId="6" fillId="0" borderId="1" applyAlignment="1" pivotButton="0" quotePrefix="0" xfId="0">
      <alignment horizontal="left" vertical="center" wrapText="1"/>
    </xf>
    <xf numFmtId="2" fontId="6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2" borderId="0" pivotButton="0" quotePrefix="0" xfId="0"/>
    <xf numFmtId="0" fontId="0" fillId="6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牛马大逃杀 · v18 全部游戏元素参考表</t>
        </is>
      </c>
    </row>
    <row r="3">
      <c r="A3" s="2" t="inlineStr">
        <is>
          <t>生成日期</t>
        </is>
      </c>
      <c r="B3" s="3" t="inlineStr">
        <is>
          <t>2026-07-04(v18, Batch 1+2 完整含 proc 框架)</t>
        </is>
      </c>
    </row>
    <row r="4">
      <c r="A4" s="2" t="inlineStr">
        <is>
          <t>数据来源</t>
        </is>
      </c>
      <c r="B4" s="3" t="inlineStr">
        <is>
          <t>src/game/data/*.js + core.js + constants.js 逐条读取</t>
        </is>
      </c>
    </row>
    <row r="5">
      <c r="A5" s="2" t="inlineStr">
        <is>
          <t>用法</t>
        </is>
      </c>
      <c r="B5" s="3" t="inlineStr">
        <is>
          <t>直接改"场景参数"表格里蓝色 数字，其他所有 DPS/时间/评估 会自动重算</t>
        </is>
      </c>
    </row>
    <row r="6">
      <c r="A6" s="2" t="inlineStr"/>
      <c r="B6" s="3" t="inlineStr"/>
    </row>
    <row r="7">
      <c r="A7" s="2" t="inlineStr">
        <is>
          <t>颜色约定</t>
        </is>
      </c>
      <c r="B7" s="3" t="inlineStr"/>
    </row>
    <row r="8">
      <c r="A8" s="2" t="inlineStr">
        <is>
          <t>· 蓝色数字</t>
        </is>
      </c>
      <c r="B8" s="3" t="inlineStr">
        <is>
          <t>用户可改的场景参数(调这些看不同结论)</t>
        </is>
      </c>
    </row>
    <row r="9">
      <c r="A9" s="2" t="inlineStr">
        <is>
          <t>· 黑色数字</t>
        </is>
      </c>
      <c r="B9" s="3" t="inlineStr">
        <is>
          <t>Excel 公式计算的结果</t>
        </is>
      </c>
    </row>
    <row r="10">
      <c r="A10" s="2" t="inlineStr">
        <is>
          <t>· 绿色单元格</t>
        </is>
      </c>
      <c r="B10" s="3" t="inlineStr">
        <is>
          <t>跨表引用</t>
        </is>
      </c>
    </row>
    <row r="11">
      <c r="A11" s="2" t="inlineStr">
        <is>
          <t>· 红色文字</t>
        </is>
      </c>
      <c r="B11" s="3" t="inlineStr">
        <is>
          <t>警告 / 已知失衡</t>
        </is>
      </c>
    </row>
    <row r="12">
      <c r="A12" s="2" t="inlineStr">
        <is>
          <t>· 黄色底纹</t>
        </is>
      </c>
      <c r="B12" s="3" t="inlineStr">
        <is>
          <t>关键假设，值得注意</t>
        </is>
      </c>
    </row>
    <row r="13">
      <c r="A13" s="2" t="inlineStr">
        <is>
          <t>· 淡红底纹</t>
        </is>
      </c>
      <c r="B13" s="3" t="inlineStr">
        <is>
          <t>当前已发现的失衡组合</t>
        </is>
      </c>
    </row>
    <row r="14">
      <c r="A14" s="2" t="inlineStr">
        <is>
          <t>· 淡绿底纹</t>
        </is>
      </c>
      <c r="B14" s="3" t="inlineStr">
        <is>
          <t>数值健康</t>
        </is>
      </c>
    </row>
    <row r="15">
      <c r="A15" s="2" t="inlineStr"/>
      <c r="B15" s="3" t="inlineStr"/>
    </row>
    <row r="16">
      <c r="A16" s="2" t="inlineStr">
        <is>
          <t>分页说明</t>
        </is>
      </c>
      <c r="B16" s="3" t="inlineStr"/>
    </row>
    <row r="17">
      <c r="A17" s="2" t="inlineStr">
        <is>
          <t>场景参数</t>
        </is>
      </c>
      <c r="B17" s="3" t="inlineStr">
        <is>
          <t>玩家 build 假设 + Boss 血量公式 + Level 常量</t>
        </is>
      </c>
    </row>
    <row r="18">
      <c r="A18" s="2" t="inlineStr">
        <is>
          <t>主武器</t>
        </is>
      </c>
      <c r="B18" s="3" t="inlineStr">
        <is>
          <t>17 把 WEAPONS + 6 传说 LEGENDS，含 DPS 计算与击杀时间</t>
        </is>
      </c>
    </row>
    <row r="19">
      <c r="A19" s="2" t="inlineStr">
        <is>
          <t>副武器</t>
        </is>
      </c>
      <c r="B19" s="3" t="inlineStr">
        <is>
          <t>11 件 SUBS，含 3 级伤害</t>
        </is>
      </c>
    </row>
    <row r="20">
      <c r="A20" s="2" t="inlineStr">
        <is>
          <t>主动技能</t>
        </is>
      </c>
      <c r="B20" s="3" t="inlineStr">
        <is>
          <t>8 个 ACTIVES，含 3 级 cd/效果</t>
        </is>
      </c>
    </row>
    <row r="21">
      <c r="A21" s="2" t="inlineStr">
        <is>
          <t>被动技能</t>
        </is>
      </c>
      <c r="B21" s="3" t="inlineStr">
        <is>
          <t>45 个 SKILLS，按 base/optimizer/slacker/proc 分组</t>
        </is>
      </c>
    </row>
    <row r="22">
      <c r="A22" s="2" t="inlineStr">
        <is>
          <t>技术模组</t>
        </is>
      </c>
      <c r="B22" s="3" t="inlineStr">
        <is>
          <t>13 个 TECH，3 档 tier 数值</t>
        </is>
      </c>
    </row>
    <row r="23">
      <c r="A23" s="2" t="inlineStr">
        <is>
          <t>蒸馏池</t>
        </is>
      </c>
      <c r="B23" s="3" t="inlineStr">
        <is>
          <t>6 种 DISTILLS</t>
        </is>
      </c>
    </row>
    <row r="24">
      <c r="A24" s="2" t="inlineStr">
        <is>
          <t>诅咒</t>
        </is>
      </c>
      <c r="B24" s="3" t="inlineStr">
        <is>
          <t>4 种 CURSES</t>
        </is>
      </c>
    </row>
    <row r="25">
      <c r="A25" s="2" t="inlineStr">
        <is>
          <t>Proc 效果</t>
        </is>
      </c>
      <c r="B25" s="3" t="inlineStr">
        <is>
          <t>8 种 proc + 触发概率复合</t>
        </is>
      </c>
    </row>
    <row r="26">
      <c r="A26" s="2" t="inlineStr">
        <is>
          <t>消耗品</t>
        </is>
      </c>
      <c r="B26" s="3" t="inlineStr">
        <is>
          <t>10 种 CONSUMABLES</t>
        </is>
      </c>
    </row>
    <row r="27">
      <c r="A27" s="2" t="inlineStr">
        <is>
          <t>觉醒配方</t>
        </is>
      </c>
      <c r="B27" s="3" t="inlineStr">
        <is>
          <t>4 组 EVOLUTIONS</t>
        </is>
      </c>
    </row>
    <row r="28">
      <c r="A28" s="2" t="inlineStr">
        <is>
          <t>精英怪</t>
        </is>
      </c>
      <c r="B28" s="3" t="inlineStr">
        <is>
          <t>10 只 ELITES(T1×4 + T2×6)</t>
        </is>
      </c>
    </row>
    <row r="29">
      <c r="A29" s="2" t="inlineStr">
        <is>
          <t>杂鱼</t>
        </is>
      </c>
      <c r="B29" s="3" t="inlineStr">
        <is>
          <t>21 只 MOBS</t>
        </is>
      </c>
    </row>
    <row r="30">
      <c r="A30" s="2" t="inlineStr">
        <is>
          <t>失衡分析</t>
        </is>
      </c>
      <c r="B30" s="3" t="inlineStr">
        <is>
          <t>DPS/生存/爆发时间的组合分析与 bug 组合发现</t>
        </is>
      </c>
    </row>
  </sheetData>
  <mergeCells count="29">
    <mergeCell ref="B4:F4"/>
    <mergeCell ref="B7:F7"/>
    <mergeCell ref="B16:F16"/>
    <mergeCell ref="B25:F25"/>
    <mergeCell ref="B3:F3"/>
    <mergeCell ref="B22:F22"/>
    <mergeCell ref="B18:F18"/>
    <mergeCell ref="B27:F27"/>
    <mergeCell ref="B21:F21"/>
    <mergeCell ref="B12:F12"/>
    <mergeCell ref="B11:F11"/>
    <mergeCell ref="B23:F23"/>
    <mergeCell ref="B14:F14"/>
    <mergeCell ref="B8:F8"/>
    <mergeCell ref="B17:F17"/>
    <mergeCell ref="B13:F13"/>
    <mergeCell ref="B29:F29"/>
    <mergeCell ref="B10:F10"/>
    <mergeCell ref="B28:F28"/>
    <mergeCell ref="B19:F19"/>
    <mergeCell ref="B9:F9"/>
    <mergeCell ref="B30:F30"/>
    <mergeCell ref="B6:F6"/>
    <mergeCell ref="B24:F24"/>
    <mergeCell ref="B20:F20"/>
    <mergeCell ref="B15:F15"/>
    <mergeCell ref="A1:F1"/>
    <mergeCell ref="B5:F5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62" customWidth="1" min="4" max="4"/>
  </cols>
  <sheetData>
    <row r="1">
      <c r="A1" s="4" t="inlineStr">
        <is>
          <t>场景参数（改蓝色数字，其他表所有 DPS/击杀时间会自动重算）</t>
        </is>
      </c>
    </row>
    <row r="3">
      <c r="A3" s="5" t="inlineStr">
        <is>
          <t>分类</t>
        </is>
      </c>
      <c r="B3" s="5" t="inlineStr">
        <is>
          <t>参数</t>
        </is>
      </c>
      <c r="C3" s="5" t="inlineStr">
        <is>
          <t>值</t>
        </is>
      </c>
      <c r="D3" s="5" t="inlineStr">
        <is>
          <t>说明</t>
        </is>
      </c>
    </row>
    <row r="4">
      <c r="A4" s="6" t="inlineStr">
        <is>
          <t>玩家等级/build</t>
        </is>
      </c>
      <c r="B4" s="6" t="inlineStr">
        <is>
          <t>玩家等级</t>
        </is>
      </c>
      <c r="C4" s="7" t="n">
        <v>15</v>
      </c>
      <c r="D4" s="6" t="inlineStr">
        <is>
          <t>默认满 build 15 级</t>
        </is>
      </c>
    </row>
    <row r="5">
      <c r="A5" s="6" t="inlineStr"/>
      <c r="B5" s="6" t="inlineStr">
        <is>
          <t>techN 模组累计层数</t>
        </is>
      </c>
      <c r="C5" s="7" t="n">
        <v>12</v>
      </c>
      <c r="D5" s="6" t="inlineStr">
        <is>
          <t>techN = sum(pl.tech)，满 build 约 12</t>
        </is>
      </c>
    </row>
    <row r="6">
      <c r="A6" s="6" t="inlineStr"/>
      <c r="B6" s="6" t="inlineStr">
        <is>
          <t>subN 副武器累计等级</t>
        </is>
      </c>
      <c r="C6" s="7" t="n">
        <v>9</v>
      </c>
      <c r="D6" s="6" t="inlineStr">
        <is>
          <t>subN = sum(subs.lv)，3件 Lv.3 = 9</t>
        </is>
      </c>
    </row>
    <row r="7">
      <c r="A7" s="6" t="inlineStr"/>
      <c r="B7" s="6" t="inlineStr">
        <is>
          <t>dstN 蒸馏累计条数</t>
        </is>
      </c>
      <c r="C7" s="7" t="n">
        <v>2</v>
      </c>
      <c r="D7" s="6" t="inlineStr">
        <is>
          <t>dstN = Object.keys(pl.distills).length</t>
        </is>
      </c>
    </row>
    <row r="8">
      <c r="A8" s="6" t="inlineStr"/>
      <c r="B8" s="6" t="inlineStr">
        <is>
          <t>传说武器</t>
        </is>
      </c>
      <c r="C8" s="7" t="n">
        <v>1</v>
      </c>
      <c r="D8" s="6" t="inlineStr">
        <is>
          <t>0=否, 1=是</t>
        </is>
      </c>
    </row>
    <row r="9">
      <c r="A9" s="6" t="inlineStr"/>
      <c r="B9" s="6" t="inlineStr">
        <is>
          <t>mods.dmg</t>
        </is>
      </c>
      <c r="C9" s="7" t="n">
        <v>2.167</v>
      </c>
      <c r="D9" s="6" t="inlineStr">
        <is>
          <t>卷王 ×3 × Ultra Finetune ×2 = 1.728 × 1.2544</t>
        </is>
      </c>
    </row>
    <row r="10">
      <c r="A10" s="6" t="inlineStr"/>
      <c r="B10" s="6" t="inlineStr">
        <is>
          <t>mods.fireRate</t>
        </is>
      </c>
      <c r="C10" s="7" t="n">
        <v>4.062</v>
      </c>
      <c r="D10" s="6" t="inlineStr">
        <is>
          <t>996 + Ultra Quant + Ultra KV + Ultra Finetune</t>
        </is>
      </c>
    </row>
    <row r="11">
      <c r="A11" s="6" t="inlineStr"/>
      <c r="B11" s="6" t="inlineStr">
        <is>
          <t>mods.multishot</t>
        </is>
      </c>
      <c r="C11" s="7" t="n">
        <v>2</v>
      </c>
      <c r="D11" s="6" t="inlineStr">
        <is>
          <t>Ultra Fewshot ×2</t>
        </is>
      </c>
    </row>
    <row r="12">
      <c r="A12" s="6" t="inlineStr"/>
      <c r="B12" s="6" t="inlineStr">
        <is>
          <t>mods.echoMult(v18 fix)</t>
        </is>
      </c>
      <c r="C12" s="7" t="n">
        <v>0.733</v>
      </c>
      <c r="D12" s="6" t="inlineStr">
        <is>
          <t>v18 软上限 0.4+0.5×(1-1/(1+multishot))</t>
        </is>
      </c>
    </row>
    <row r="13">
      <c r="A13" s="6" t="inlineStr"/>
      <c r="B13" s="6" t="inlineStr">
        <is>
          <t>mods.crit</t>
        </is>
      </c>
      <c r="C13" s="7" t="n">
        <v>0.57</v>
      </c>
      <c r="D13" s="6" t="inlineStr">
        <is>
          <t>Ultra Temp ×3 = 57%</t>
        </is>
      </c>
    </row>
    <row r="14">
      <c r="A14" s="6" t="inlineStr"/>
      <c r="B14" s="6" t="inlineStr">
        <is>
          <t>mods.range</t>
        </is>
      </c>
      <c r="C14" s="7" t="n">
        <v>1.35</v>
      </c>
      <c r="D14" s="6" t="inlineStr">
        <is>
          <t>Ultra Ctxwin ×2 = 1.35</t>
        </is>
      </c>
    </row>
    <row r="15">
      <c r="A15" s="6" t="inlineStr"/>
      <c r="B15" s="6" t="inlineStr">
        <is>
          <t>mods.dmgTaken</t>
        </is>
      </c>
      <c r="C15" s="7" t="n">
        <v>1</v>
      </c>
      <c r="D15" s="6" t="inlineStr">
        <is>
          <t>受伤系数（&lt;1 就减伤）</t>
        </is>
      </c>
    </row>
    <row r="16">
      <c r="A16" s="6" t="inlineStr"/>
      <c r="B16" s="6" t="inlineStr">
        <is>
          <t>武器等级</t>
        </is>
      </c>
      <c r="C16" s="7" t="n">
        <v>5</v>
      </c>
      <c r="D16" s="6" t="inlineStr">
        <is>
          <t>主武器 1-5 级</t>
        </is>
      </c>
    </row>
    <row r="17">
      <c r="A17" s="6" t="inlineStr"/>
      <c r="B17" s="6" t="inlineStr">
        <is>
          <t>lvlMult(标准1.3^(lvl-1))</t>
        </is>
      </c>
      <c r="C17" s="7" t="n">
        <v>5</v>
      </c>
      <c r="D17" s="6" t="inlineStr">
        <is>
          <t>武器等级伤害乘子 = 1.3^(lvl-1) for 标准 / 1.15 for drone / 1 for 传说</t>
        </is>
      </c>
    </row>
    <row r="18">
      <c r="A18" s="6" t="inlineStr"/>
      <c r="B18" s="6" t="inlineStr"/>
      <c r="C18" s="6">
        <f>1.3^(C17-1)</f>
        <v/>
      </c>
      <c r="D18" s="6" t="inlineStr"/>
    </row>
    <row r="19">
      <c r="A19" s="6" t="inlineStr">
        <is>
          <t>Boss 血量公式</t>
        </is>
      </c>
      <c r="B19" s="6" t="inlineStr">
        <is>
          <t>v18 Boss HP</t>
        </is>
      </c>
      <c r="C19" s="6">
        <f>(900 + 600 + 60*C4 + 180*C5 + 220*C6 + 280*C7 + 400*C8) * (1 + 0.15*C7)</f>
        <v/>
      </c>
      <c r="D19" s="6" t="inlineStr">
        <is>
          <t>(900 + 600 + 60×lvl + 180×techN + 220×subN + 280×dstN + 400×leg) × (1+0.15×dstN)</t>
        </is>
      </c>
    </row>
    <row r="20">
      <c r="A20" s="6" t="inlineStr"/>
      <c r="B20" s="6" t="inlineStr">
        <is>
          <t>Boss 狂暴阈值</t>
        </is>
      </c>
      <c r="C20" s="7" t="n">
        <v>0.75</v>
      </c>
      <c r="D20" s="6" t="inlineStr">
        <is>
          <t>v18 修正为 0.75（原 0.5）</t>
        </is>
      </c>
    </row>
    <row r="21">
      <c r="A21" s="6" t="inlineStr"/>
      <c r="B21" s="6" t="inlineStr">
        <is>
          <t>Boss 狂暴护盾比例</t>
        </is>
      </c>
      <c r="C21" s="7" t="n">
        <v>0.15</v>
      </c>
      <c r="D21" s="6" t="inlineStr">
        <is>
          <t>maxHp × 0.15</t>
        </is>
      </c>
    </row>
    <row r="22">
      <c r="A22" s="6" t="inlineStr"/>
      <c r="B22" s="6" t="inlineStr">
        <is>
          <t>Boss 狂暴护盾时长(秒)</t>
        </is>
      </c>
      <c r="C22" s="7" t="n">
        <v>8</v>
      </c>
      <c r="D22" s="6" t="inlineStr"/>
    </row>
    <row r="23">
      <c r="A23" s="6" t="inlineStr"/>
      <c r="B23" s="6" t="inlineStr">
        <is>
          <t>Boss 狂暴期 dmgTaken 乘子</t>
        </is>
      </c>
      <c r="C23" s="7" t="n">
        <v>0.7</v>
      </c>
      <c r="D23" s="6" t="inlineStr">
        <is>
          <t>v18 减伤 30%</t>
        </is>
      </c>
    </row>
    <row r="24">
      <c r="A24" s="6" t="inlineStr"/>
      <c r="B24" s="6" t="inlineStr"/>
      <c r="C24" s="6" t="inlineStr"/>
      <c r="D24" s="6" t="inlineStr"/>
    </row>
    <row r="25">
      <c r="A25" s="6" t="inlineStr">
        <is>
          <t>升级曲线</t>
        </is>
      </c>
      <c r="B25" s="6" t="inlineStr">
        <is>
          <t>levelNeed 底数</t>
        </is>
      </c>
      <c r="C25" s="7" t="n">
        <v>1.22</v>
      </c>
      <c r="D25" s="6" t="inlineStr">
        <is>
          <t>v18 从 1.26 回调到 1.22</t>
        </is>
      </c>
    </row>
    <row r="26">
      <c r="A26" s="6" t="inlineStr"/>
      <c r="B26" s="6" t="inlineStr">
        <is>
          <t>试用期 XP 折扣</t>
        </is>
      </c>
      <c r="C26" s="7" t="n">
        <v>0.55</v>
      </c>
      <c r="D26" s="6" t="inlineStr">
        <is>
          <t>v18 从 0.42 上调到 0.55</t>
        </is>
      </c>
    </row>
    <row r="27">
      <c r="A27" s="6" t="inlineStr"/>
      <c r="B27" s="6" t="inlineStr">
        <is>
          <t>xpPerKill(正式赛)</t>
        </is>
      </c>
      <c r="C27" s="7" t="n">
        <v>12</v>
      </c>
      <c r="D27" s="6" t="inlineStr"/>
    </row>
    <row r="28">
      <c r="A28" s="6" t="inlineStr"/>
      <c r="B28" s="6" t="inlineStr"/>
      <c r="C28" s="6" t="inlineStr"/>
      <c r="D28" s="6" t="inlineStr"/>
    </row>
    <row r="29">
      <c r="A29" s="6" t="inlineStr">
        <is>
          <t>射速软上限</t>
        </is>
      </c>
      <c r="B29" s="6" t="inlineStr">
        <is>
          <t>fireRateOf 转折点</t>
        </is>
      </c>
      <c r="C29" s="7" t="n">
        <v>2</v>
      </c>
      <c r="D29" s="6" t="inlineStr">
        <is>
          <t>公式：f&lt;=2→f; f&gt;2→2+sqrt(f-2)×0.6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" customWidth="1" min="3" max="3"/>
    <col width="10" customWidth="1" min="4" max="4"/>
    <col width="8" customWidth="1" min="5" max="5"/>
    <col width="12" customWidth="1" min="6" max="6"/>
    <col width="8" customWidth="1" min="7" max="7"/>
    <col width="10" customWidth="1" min="8" max="8"/>
    <col width="12" customWidth="1" min="9" max="9"/>
    <col width="14" customWidth="1" min="10" max="10"/>
    <col width="20" customWidth="1" min="11" max="11"/>
    <col width="12" customWidth="1" min="12" max="12"/>
    <col width="14" customWidth="1" min="13" max="13"/>
    <col width="16" customWidth="1" min="14" max="14"/>
    <col width="16" customWidth="1" min="15" max="15"/>
    <col width="10" customWidth="1" min="16" max="16"/>
    <col width="24" customWidth="1" min="17" max="17"/>
    <col width="22" customWidth="1" min="18" max="18"/>
  </cols>
  <sheetData>
    <row r="1" ht="32" customHeight="1">
      <c r="A1" s="5" t="inlineStr">
        <is>
          <t>ID</t>
        </is>
      </c>
      <c r="B1" s="5" t="inlineStr">
        <is>
          <t>名称</t>
        </is>
      </c>
      <c r="C1" s="5" t="inlineStr">
        <is>
          <t>国</t>
        </is>
      </c>
      <c r="D1" s="5" t="inlineStr">
        <is>
          <t>kind</t>
        </is>
      </c>
      <c r="E1" s="5" t="inlineStr">
        <is>
          <t>cd(s)</t>
        </is>
      </c>
      <c r="F1" s="5" t="inlineStr">
        <is>
          <t>每发伤害</t>
        </is>
      </c>
      <c r="G1" s="5" t="inlineStr">
        <is>
          <t>弹速</t>
        </is>
      </c>
      <c r="H1" s="5" t="inlineStr">
        <is>
          <t>基础射程</t>
        </is>
      </c>
      <c r="I1" s="5" t="inlineStr">
        <is>
          <t>DPS 基础(每发/cd)</t>
        </is>
      </c>
      <c r="J1" s="5" t="inlineStr">
        <is>
          <t>有效射速(软上限)</t>
        </is>
      </c>
      <c r="K1" s="5" t="inlineStr">
        <is>
          <t>每发伤害×lvlMult×模组×echo</t>
        </is>
      </c>
      <c r="L1" s="5" t="inlineStr">
        <is>
          <t>暴击期望乘子</t>
        </is>
      </c>
      <c r="M1" s="5" t="inlineStr">
        <is>
          <t>有效周期(秒)</t>
        </is>
      </c>
      <c r="N1" s="5" t="inlineStr">
        <is>
          <t>有效 DPS(满 build)</t>
        </is>
      </c>
      <c r="O1" s="5" t="inlineStr">
        <is>
          <t>满 build 击杀 Boss 秒数</t>
        </is>
      </c>
      <c r="P1" s="5" t="inlineStr">
        <is>
          <t>自动追踪</t>
        </is>
      </c>
      <c r="Q1" s="5" t="inlineStr">
        <is>
          <t>kind 特殊</t>
        </is>
      </c>
      <c r="R1" s="5" t="inlineStr">
        <is>
          <t>备注</t>
        </is>
      </c>
    </row>
    <row r="2">
      <c r="A2" s="8" t="inlineStr">
        <is>
          <t>deepseek</t>
        </is>
      </c>
      <c r="B2" s="8" t="inlineStr">
        <is>
          <t>DeepSeek</t>
        </is>
      </c>
      <c r="C2" s="8" t="inlineStr">
        <is>
          <t>CN</t>
        </is>
      </c>
      <c r="D2" s="8" t="inlineStr">
        <is>
          <t>mg</t>
        </is>
      </c>
      <c r="E2" s="8" t="n">
        <v>0.11</v>
      </c>
      <c r="F2" s="8" t="n">
        <v>2.3</v>
      </c>
      <c r="G2" s="8" t="n">
        <v>300</v>
      </c>
      <c r="H2" s="8" t="n">
        <v>220</v>
      </c>
      <c r="I2" s="8">
        <f>IF(E2&gt;0, F2/E2, F2*4)</f>
        <v/>
      </c>
      <c r="J2" s="8">
        <f>IF(pl_fireRate&lt;=2, pl_fireRate, 2+SQRT(pl_fireRate-2)*0.6)</f>
        <v/>
      </c>
      <c r="K2" s="8">
        <f>F2*pl_dmg*pl_lvlMult*(1 + pl_multishot*pl_echoMult)</f>
        <v/>
      </c>
      <c r="L2" s="8">
        <f>1 + pl_crit</f>
        <v/>
      </c>
      <c r="M2" s="8">
        <f>E2 / J2</f>
        <v/>
      </c>
      <c r="N2" s="8">
        <f>K2*L2/M2</f>
        <v/>
      </c>
      <c r="O2" s="8">
        <f>IF(N2&gt;0, boss_hp/N2, "N/A")</f>
        <v/>
      </c>
      <c r="P2" s="8" t="inlineStr">
        <is>
          <t>否</t>
        </is>
      </c>
      <c r="Q2" s="8" t="inlineStr">
        <is>
          <t>spread 0.07</t>
        </is>
      </c>
      <c r="R2" s="8" t="inlineStr"/>
    </row>
    <row r="3">
      <c r="A3" s="6" t="inlineStr">
        <is>
          <t>kimi</t>
        </is>
      </c>
      <c r="B3" s="6" t="inlineStr">
        <is>
          <t>Kimi</t>
        </is>
      </c>
      <c r="C3" s="6" t="inlineStr">
        <is>
          <t>CN</t>
        </is>
      </c>
      <c r="D3" s="6" t="inlineStr">
        <is>
          <t>sniper</t>
        </is>
      </c>
      <c r="E3" s="6" t="n">
        <v>1.5</v>
      </c>
      <c r="F3" s="6" t="n">
        <v>30</v>
      </c>
      <c r="G3" s="6" t="n">
        <v>620</v>
      </c>
      <c r="H3" s="6" t="n">
        <v>600</v>
      </c>
      <c r="I3" s="6">
        <f>IF(E3&gt;0, F3/E3, F3*4)</f>
        <v/>
      </c>
      <c r="J3" s="6">
        <f>IF(pl_fireRate&lt;=2, pl_fireRate, 2+SQRT(pl_fireRate-2)*0.6)</f>
        <v/>
      </c>
      <c r="K3" s="6">
        <f>F3*pl_dmg*pl_lvlMult*(1 + pl_multishot*pl_echoMult)</f>
        <v/>
      </c>
      <c r="L3" s="6">
        <f>1 + pl_crit</f>
        <v/>
      </c>
      <c r="M3" s="6">
        <f>E3 / J3</f>
        <v/>
      </c>
      <c r="N3" s="6">
        <f>K3*L3/M3</f>
        <v/>
      </c>
      <c r="O3" s="6">
        <f>IF(N3&gt;0, boss_hp/N3, "N/A")</f>
        <v/>
      </c>
      <c r="P3" s="6" t="inlineStr">
        <is>
          <t>否</t>
        </is>
      </c>
      <c r="Q3" s="6" t="inlineStr">
        <is>
          <t>pierce 99 穿墙</t>
        </is>
      </c>
      <c r="R3" s="6" t="inlineStr"/>
    </row>
    <row r="4">
      <c r="A4" s="8" t="inlineStr">
        <is>
          <t>qwen</t>
        </is>
      </c>
      <c r="B4" s="8" t="inlineStr">
        <is>
          <t>通义千问</t>
        </is>
      </c>
      <c r="C4" s="8" t="inlineStr">
        <is>
          <t>CN</t>
        </is>
      </c>
      <c r="D4" s="8" t="inlineStr">
        <is>
          <t>shotgun</t>
        </is>
      </c>
      <c r="E4" s="8" t="n">
        <v>1.1</v>
      </c>
      <c r="F4" s="8" t="n">
        <v>23</v>
      </c>
      <c r="G4" s="8" t="n">
        <v>260</v>
      </c>
      <c r="H4" s="8" t="n">
        <v>125</v>
      </c>
      <c r="I4" s="8">
        <f>IF(E4&gt;0, F4/E4, F4*4)</f>
        <v/>
      </c>
      <c r="J4" s="8">
        <f>IF(pl_fireRate&lt;=2, pl_fireRate, 2+SQRT(pl_fireRate-2)*0.6)</f>
        <v/>
      </c>
      <c r="K4" s="8">
        <f>F4*pl_dmg*pl_lvlMult*(1 + pl_multishot*pl_echoMult)</f>
        <v/>
      </c>
      <c r="L4" s="8">
        <f>1 + pl_crit</f>
        <v/>
      </c>
      <c r="M4" s="8">
        <f>E4 / J4</f>
        <v/>
      </c>
      <c r="N4" s="8">
        <f>K4*L4/M4</f>
        <v/>
      </c>
      <c r="O4" s="8">
        <f>IF(N4&gt;0, boss_hp/N4, "N/A")</f>
        <v/>
      </c>
      <c r="P4" s="8" t="inlineStr">
        <is>
          <t>否</t>
        </is>
      </c>
      <c r="Q4" s="8" t="inlineStr">
        <is>
          <t>5发扇形 spread 1.0</t>
        </is>
      </c>
      <c r="R4" s="8" t="inlineStr">
        <is>
          <t>每发伤害=单弹×count</t>
        </is>
      </c>
    </row>
    <row r="5">
      <c r="A5" s="6" t="inlineStr">
        <is>
          <t>wenxin</t>
        </is>
      </c>
      <c r="B5" s="6" t="inlineStr">
        <is>
          <t>文心一言</t>
        </is>
      </c>
      <c r="C5" s="6" t="inlineStr">
        <is>
          <t>CN</t>
        </is>
      </c>
      <c r="D5" s="6" t="inlineStr">
        <is>
          <t>lob</t>
        </is>
      </c>
      <c r="E5" s="6" t="n">
        <v>1.4</v>
      </c>
      <c r="F5" s="6" t="n">
        <v>26</v>
      </c>
      <c r="G5" s="6" t="n">
        <v>190</v>
      </c>
      <c r="H5" s="6" t="n">
        <v>190</v>
      </c>
      <c r="I5" s="6">
        <f>IF(E5&gt;0, F5/E5, F5*4)</f>
        <v/>
      </c>
      <c r="J5" s="6">
        <f>IF(pl_fireRate&lt;=2, pl_fireRate, 2+SQRT(pl_fireRate-2)*0.6)</f>
        <v/>
      </c>
      <c r="K5" s="6">
        <f>F5*pl_dmg*pl_lvlMult*(1 + pl_multishot*pl_echoMult)</f>
        <v/>
      </c>
      <c r="L5" s="6">
        <f>1 + pl_crit</f>
        <v/>
      </c>
      <c r="M5" s="6">
        <f>E5 / J5</f>
        <v/>
      </c>
      <c r="N5" s="6">
        <f>K5*L5/M5</f>
        <v/>
      </c>
      <c r="O5" s="6">
        <f>IF(N5&gt;0, boss_hp/N5, "N/A")</f>
        <v/>
      </c>
      <c r="P5" s="6" t="inlineStr">
        <is>
          <t>否</t>
        </is>
      </c>
      <c r="Q5" s="6" t="inlineStr">
        <is>
          <t>落点爆炸 boomR 42</t>
        </is>
      </c>
      <c r="R5" s="6" t="inlineStr"/>
    </row>
    <row r="6">
      <c r="A6" s="8" t="inlineStr">
        <is>
          <t>doubao</t>
        </is>
      </c>
      <c r="B6" s="8" t="inlineStr">
        <is>
          <t>豆包</t>
        </is>
      </c>
      <c r="C6" s="8" t="inlineStr">
        <is>
          <t>CN</t>
        </is>
      </c>
      <c r="D6" s="8" t="inlineStr">
        <is>
          <t>homing</t>
        </is>
      </c>
      <c r="E6" s="8" t="n">
        <v>0.7</v>
      </c>
      <c r="F6" s="8" t="n">
        <v>12.5</v>
      </c>
      <c r="G6" s="8" t="n">
        <v>185</v>
      </c>
      <c r="H6" s="8" t="n">
        <v>560</v>
      </c>
      <c r="I6" s="8">
        <f>IF(E6&gt;0, F6/E6, F6*4)</f>
        <v/>
      </c>
      <c r="J6" s="8">
        <f>IF(pl_fireRate&lt;=2, pl_fireRate, 2+SQRT(pl_fireRate-2)*0.6)</f>
        <v/>
      </c>
      <c r="K6" s="8">
        <f>F6*pl_dmg*pl_lvlMult*(1 + pl_multishot*pl_echoMult)</f>
        <v/>
      </c>
      <c r="L6" s="8">
        <f>1 + pl_crit</f>
        <v/>
      </c>
      <c r="M6" s="8">
        <f>E6 / J6</f>
        <v/>
      </c>
      <c r="N6" s="8">
        <f>K6*L6/M6</f>
        <v/>
      </c>
      <c r="O6" s="8">
        <f>IF(N6&gt;0, boss_hp/N6, "N/A")</f>
        <v/>
      </c>
      <c r="P6" s="8" t="inlineStr">
        <is>
          <t>是</t>
        </is>
      </c>
      <c r="Q6" s="8" t="inlineStr">
        <is>
          <t>homing 4.5</t>
        </is>
      </c>
      <c r="R6" s="8" t="inlineStr"/>
    </row>
    <row r="7">
      <c r="A7" s="6" t="inlineStr">
        <is>
          <t>glm</t>
        </is>
      </c>
      <c r="B7" s="6" t="inlineStr">
        <is>
          <t>智谱GLM</t>
        </is>
      </c>
      <c r="C7" s="6" t="inlineStr">
        <is>
          <t>CN</t>
        </is>
      </c>
      <c r="D7" s="6" t="inlineStr">
        <is>
          <t>chain</t>
        </is>
      </c>
      <c r="E7" s="6" t="n">
        <v>1</v>
      </c>
      <c r="F7" s="6" t="n">
        <v>17</v>
      </c>
      <c r="G7" s="6" t="n">
        <v>0</v>
      </c>
      <c r="H7" s="6" t="n">
        <v>190</v>
      </c>
      <c r="I7" s="6">
        <f>IF(E7&gt;0, F7/E7, F7*4)</f>
        <v/>
      </c>
      <c r="J7" s="6">
        <f>IF(pl_fireRate&lt;=2, pl_fireRate, 2+SQRT(pl_fireRate-2)*0.6)</f>
        <v/>
      </c>
      <c r="K7" s="6">
        <f>F7*pl_dmg*pl_lvlMult*(1 + pl_multishot*pl_echoMult)</f>
        <v/>
      </c>
      <c r="L7" s="6">
        <f>1 + pl_crit</f>
        <v/>
      </c>
      <c r="M7" s="6">
        <f>E7 / J7</f>
        <v/>
      </c>
      <c r="N7" s="6">
        <f>K7*L7/M7</f>
        <v/>
      </c>
      <c r="O7" s="6">
        <f>IF(N7&gt;0, boss_hp/N7, "N/A")</f>
        <v/>
      </c>
      <c r="P7" s="6" t="inlineStr">
        <is>
          <t>就近</t>
        </is>
      </c>
      <c r="Q7" s="6" t="inlineStr">
        <is>
          <t>链跳 3 目标 decay 0.8</t>
        </is>
      </c>
      <c r="R7" s="6" t="inlineStr"/>
    </row>
    <row r="8">
      <c r="A8" s="8" t="inlineStr">
        <is>
          <t>chatgpt</t>
        </is>
      </c>
      <c r="B8" s="8" t="inlineStr">
        <is>
          <t>ChatGPT</t>
        </is>
      </c>
      <c r="C8" s="8" t="inlineStr">
        <is>
          <t>US</t>
        </is>
      </c>
      <c r="D8" s="8" t="inlineStr">
        <is>
          <t>single</t>
        </is>
      </c>
      <c r="E8" s="8" t="n">
        <v>0.5</v>
      </c>
      <c r="F8" s="8" t="n">
        <v>10</v>
      </c>
      <c r="G8" s="8" t="n">
        <v>320</v>
      </c>
      <c r="H8" s="8" t="n">
        <v>260</v>
      </c>
      <c r="I8" s="8">
        <f>IF(E8&gt;0, F8/E8, F8*4)</f>
        <v/>
      </c>
      <c r="J8" s="8">
        <f>IF(pl_fireRate&lt;=2, pl_fireRate, 2+SQRT(pl_fireRate-2)*0.6)</f>
        <v/>
      </c>
      <c r="K8" s="8">
        <f>F8*pl_dmg*pl_lvlMult*(1 + pl_multishot*pl_echoMult)</f>
        <v/>
      </c>
      <c r="L8" s="8">
        <f>1 + pl_crit</f>
        <v/>
      </c>
      <c r="M8" s="8">
        <f>E8 / J8</f>
        <v/>
      </c>
      <c r="N8" s="8">
        <f>K8*L8/M8</f>
        <v/>
      </c>
      <c r="O8" s="8">
        <f>IF(N8&gt;0, boss_hp/N8, "N/A")</f>
        <v/>
      </c>
      <c r="P8" s="8" t="inlineStr">
        <is>
          <t>否</t>
        </is>
      </c>
      <c r="Q8" s="8" t="inlineStr">
        <is>
          <t>标准单发</t>
        </is>
      </c>
      <c r="R8" s="8" t="inlineStr"/>
    </row>
    <row r="9">
      <c r="A9" s="6" t="inlineStr">
        <is>
          <t>claude</t>
        </is>
      </c>
      <c r="B9" s="6" t="inlineStr">
        <is>
          <t>Claude</t>
        </is>
      </c>
      <c r="C9" s="6" t="inlineStr">
        <is>
          <t>US</t>
        </is>
      </c>
      <c r="D9" s="6" t="inlineStr">
        <is>
          <t>charge</t>
        </is>
      </c>
      <c r="E9" s="6" t="n">
        <v>0.45</v>
      </c>
      <c r="F9" s="6" t="n">
        <v>42</v>
      </c>
      <c r="G9" s="6" t="n">
        <v>0</v>
      </c>
      <c r="H9" s="6" t="n">
        <v>270</v>
      </c>
      <c r="I9" s="6">
        <f>IF(E9&gt;0, F9/E9, F9*4)</f>
        <v/>
      </c>
      <c r="J9" s="6">
        <f>IF(pl_fireRate&lt;=2, pl_fireRate, 2+SQRT(pl_fireRate-2)*0.6)</f>
        <v/>
      </c>
      <c r="K9" s="6">
        <f>F9*pl_dmg*pl_lvlMult*(1 + pl_multishot*pl_echoMult)</f>
        <v/>
      </c>
      <c r="L9" s="6">
        <f>1 + pl_crit</f>
        <v/>
      </c>
      <c r="M9" s="6">
        <f>(1.2 + E9) / J9</f>
        <v/>
      </c>
      <c r="N9" s="6">
        <f>K9*L9/M9</f>
        <v/>
      </c>
      <c r="O9" s="6">
        <f>IF(N9&gt;0, boss_hp/N9, "N/A")</f>
        <v/>
      </c>
      <c r="P9" s="6" t="inlineStr">
        <is>
          <t>否</t>
        </is>
      </c>
      <c r="Q9" s="6" t="inlineStr">
        <is>
          <t>蓄力 1.2s / dmgMax=42</t>
        </is>
      </c>
      <c r="R9" s="6" t="inlineStr">
        <is>
          <t>dmg 用蓄满值</t>
        </is>
      </c>
    </row>
    <row r="10">
      <c r="A10" s="8" t="inlineStr">
        <is>
          <t>gemini</t>
        </is>
      </c>
      <c r="B10" s="8" t="inlineStr">
        <is>
          <t>Gemini</t>
        </is>
      </c>
      <c r="C10" s="8" t="inlineStr">
        <is>
          <t>US</t>
        </is>
      </c>
      <c r="D10" s="8" t="inlineStr">
        <is>
          <t>twin</t>
        </is>
      </c>
      <c r="E10" s="8" t="n">
        <v>0.55</v>
      </c>
      <c r="F10" s="8" t="n">
        <v>12</v>
      </c>
      <c r="G10" s="8" t="n">
        <v>320</v>
      </c>
      <c r="H10" s="8" t="n">
        <v>240</v>
      </c>
      <c r="I10" s="8">
        <f>IF(E10&gt;0, F10/E10, F10*4)</f>
        <v/>
      </c>
      <c r="J10" s="8">
        <f>IF(pl_fireRate&lt;=2, pl_fireRate, 2+SQRT(pl_fireRate-2)*0.6)</f>
        <v/>
      </c>
      <c r="K10" s="8">
        <f>F10*pl_dmg*pl_lvlMult*(1 + pl_multishot*pl_echoMult)</f>
        <v/>
      </c>
      <c r="L10" s="8">
        <f>1 + pl_crit</f>
        <v/>
      </c>
      <c r="M10" s="8">
        <f>E10 / J10</f>
        <v/>
      </c>
      <c r="N10" s="8">
        <f>K10*L10/M10</f>
        <v/>
      </c>
      <c r="O10" s="8">
        <f>IF(N10&gt;0, boss_hp/N10, "N/A")</f>
        <v/>
      </c>
      <c r="P10" s="8" t="inlineStr">
        <is>
          <t>否</t>
        </is>
      </c>
      <c r="Q10" s="8" t="inlineStr">
        <is>
          <t>双联平行</t>
        </is>
      </c>
      <c r="R10" s="8" t="inlineStr">
        <is>
          <t>每发伤害=6×2</t>
        </is>
      </c>
    </row>
    <row r="11">
      <c r="A11" s="6" t="inlineStr">
        <is>
          <t>copilot</t>
        </is>
      </c>
      <c r="B11" s="6" t="inlineStr">
        <is>
          <t>Copilot</t>
        </is>
      </c>
      <c r="C11" s="6" t="inlineStr">
        <is>
          <t>US</t>
        </is>
      </c>
      <c r="D11" s="6" t="inlineStr">
        <is>
          <t>drone</t>
        </is>
      </c>
      <c r="E11" s="6" t="n">
        <v>0.8</v>
      </c>
      <c r="F11" s="6" t="n">
        <v>8.5</v>
      </c>
      <c r="G11" s="6" t="n">
        <v>300</v>
      </c>
      <c r="H11" s="6" t="n">
        <v>150</v>
      </c>
      <c r="I11" s="6">
        <f>IF(E11&gt;0, F11/E11, F11*4)</f>
        <v/>
      </c>
      <c r="J11" s="6">
        <f>IF(pl_fireRate&lt;=2, pl_fireRate, 2+SQRT(pl_fireRate-2)*0.6)</f>
        <v/>
      </c>
      <c r="K11" s="6">
        <f>F11*pl_dmg*1.15^(pl_lvlWeapon-1)*(1 + pl_multishot*pl_echoMult)</f>
        <v/>
      </c>
      <c r="L11" s="6">
        <f>1 + pl_crit</f>
        <v/>
      </c>
      <c r="M11" s="6">
        <f>E11 / J11</f>
        <v/>
      </c>
      <c r="N11" s="6">
        <f>K11*L11/M11</f>
        <v/>
      </c>
      <c r="O11" s="6">
        <f>IF(N11&gt;0, boss_hp/N11, "N/A")</f>
        <v/>
      </c>
      <c r="P11" s="6" t="inlineStr">
        <is>
          <t>是</t>
        </is>
      </c>
      <c r="Q11" s="6" t="inlineStr">
        <is>
          <t>2 僚机(满级3)</t>
        </is>
      </c>
      <c r="R11" s="6" t="inlineStr">
        <is>
          <t>僚机独立开火</t>
        </is>
      </c>
    </row>
    <row r="12">
      <c r="A12" s="8" t="inlineStr">
        <is>
          <t>midjourney</t>
        </is>
      </c>
      <c r="B12" s="8" t="inlineStr">
        <is>
          <t>Midjourney</t>
        </is>
      </c>
      <c r="C12" s="8" t="inlineStr">
        <is>
          <t>US</t>
        </is>
      </c>
      <c r="D12" s="8" t="inlineStr">
        <is>
          <t>gacha</t>
        </is>
      </c>
      <c r="E12" s="8" t="n">
        <v>0.9</v>
      </c>
      <c r="F12" s="8" t="n">
        <v>10</v>
      </c>
      <c r="G12" s="8" t="n">
        <v>300</v>
      </c>
      <c r="H12" s="8" t="n">
        <v>230</v>
      </c>
      <c r="I12" s="8">
        <f>IF(E12&gt;0, F12/E12, F12*4)</f>
        <v/>
      </c>
      <c r="J12" s="8">
        <f>IF(pl_fireRate&lt;=2, pl_fireRate, 2+SQRT(pl_fireRate-2)*0.6)</f>
        <v/>
      </c>
      <c r="K12" s="8">
        <f>F12*pl_dmg*pl_lvlMult*(1 + pl_multishot*pl_echoMult)</f>
        <v/>
      </c>
      <c r="L12" s="8">
        <f>1 + pl_crit</f>
        <v/>
      </c>
      <c r="M12" s="8">
        <f>E12 / J12</f>
        <v/>
      </c>
      <c r="N12" s="8">
        <f>K12*L12/M12</f>
        <v/>
      </c>
      <c r="O12" s="8">
        <f>IF(N12&gt;0, boss_hp/N12, "N/A")</f>
        <v/>
      </c>
      <c r="P12" s="8" t="inlineStr">
        <is>
          <t>部分</t>
        </is>
      </c>
      <c r="Q12" s="8" t="inlineStr">
        <is>
          <t>抽卡 4 模式，0.5-3× 浮动</t>
        </is>
      </c>
      <c r="R12" s="8" t="inlineStr">
        <is>
          <t>dmg 取平均</t>
        </is>
      </c>
    </row>
    <row r="13">
      <c r="A13" s="6" t="inlineStr">
        <is>
          <t>grok</t>
        </is>
      </c>
      <c r="B13" s="6" t="inlineStr">
        <is>
          <t>Grok</t>
        </is>
      </c>
      <c r="C13" s="6" t="inlineStr">
        <is>
          <t>US</t>
        </is>
      </c>
      <c r="D13" s="6" t="inlineStr">
        <is>
          <t>boomerang</t>
        </is>
      </c>
      <c r="E13" s="6" t="n">
        <v>0.95</v>
      </c>
      <c r="F13" s="6" t="n">
        <v>10</v>
      </c>
      <c r="G13" s="6" t="n">
        <v>300</v>
      </c>
      <c r="H13" s="6" t="n">
        <v>140</v>
      </c>
      <c r="I13" s="6">
        <f>IF(E13&gt;0, F13/E13, F13*4)</f>
        <v/>
      </c>
      <c r="J13" s="6">
        <f>IF(pl_fireRate&lt;=2, pl_fireRate, 2+SQRT(pl_fireRate-2)*0.6)</f>
        <v/>
      </c>
      <c r="K13" s="6">
        <f>F13*pl_dmg*pl_lvlMult*(1 + pl_multishot*pl_echoMult)</f>
        <v/>
      </c>
      <c r="L13" s="6">
        <f>1 + pl_crit</f>
        <v/>
      </c>
      <c r="M13" s="6">
        <f>E13 / J13</f>
        <v/>
      </c>
      <c r="N13" s="6">
        <f>K13*L13/M13</f>
        <v/>
      </c>
      <c r="O13" s="6">
        <f>IF(N13&gt;0, boss_hp/N13, "N/A")</f>
        <v/>
      </c>
      <c r="P13" s="6" t="inlineStr">
        <is>
          <t>否</t>
        </is>
      </c>
      <c r="Q13" s="6" t="inlineStr">
        <is>
          <t>去回程双判</t>
        </is>
      </c>
      <c r="R13" s="6" t="inlineStr"/>
    </row>
    <row r="14">
      <c r="A14" s="8" t="inlineStr">
        <is>
          <t>meta</t>
        </is>
      </c>
      <c r="B14" s="8" t="inlineStr">
        <is>
          <t>Meta Llama(v18)</t>
        </is>
      </c>
      <c r="C14" s="8" t="inlineStr">
        <is>
          <t>US</t>
        </is>
      </c>
      <c r="D14" s="8" t="inlineStr">
        <is>
          <t>aura</t>
        </is>
      </c>
      <c r="E14" s="8" t="n">
        <v>0.25</v>
      </c>
      <c r="F14" s="8" t="n">
        <v>6</v>
      </c>
      <c r="G14" s="8" t="n">
        <v>0</v>
      </c>
      <c r="H14" s="8" t="n">
        <v>70</v>
      </c>
      <c r="I14" s="8">
        <f>IF(E14&gt;0, F14/E14, F14*4)</f>
        <v/>
      </c>
      <c r="J14" s="8">
        <f>IF(pl_fireRate&lt;=2, pl_fireRate, 2+SQRT(pl_fireRate-2)*0.6)</f>
        <v/>
      </c>
      <c r="K14" s="8">
        <f>F14*pl_dmg*pl_lvlMult*(1 + pl_multishot*pl_echoMult)</f>
        <v/>
      </c>
      <c r="L14" s="8">
        <f>1 + pl_crit</f>
        <v/>
      </c>
      <c r="M14" s="8">
        <f>E14 / J14</f>
        <v/>
      </c>
      <c r="N14" s="8">
        <f>K14*L14/M14</f>
        <v/>
      </c>
      <c r="O14" s="8">
        <f>IF(N14&gt;0, boss_hp/N14, "N/A")</f>
        <v/>
      </c>
      <c r="P14" s="8" t="inlineStr">
        <is>
          <t>全命中</t>
        </is>
      </c>
      <c r="Q14" s="8" t="inlineStr">
        <is>
          <t>tickCd 0.25s</t>
        </is>
      </c>
      <c r="R14" s="8" t="inlineStr">
        <is>
          <t>DPS=dmg/tickCd</t>
        </is>
      </c>
    </row>
    <row r="15">
      <c r="A15" s="6" t="inlineStr">
        <is>
          <t>minimax</t>
        </is>
      </c>
      <c r="B15" s="6" t="inlineStr">
        <is>
          <t>MiniMax(v18)</t>
        </is>
      </c>
      <c r="C15" s="6" t="inlineStr">
        <is>
          <t>CN</t>
        </is>
      </c>
      <c r="D15" s="6" t="inlineStr">
        <is>
          <t>totem</t>
        </is>
      </c>
      <c r="E15" s="6" t="n">
        <v>2.5</v>
      </c>
      <c r="F15" s="6" t="n">
        <v>8</v>
      </c>
      <c r="G15" s="6" t="n">
        <v>0</v>
      </c>
      <c r="H15" s="6" t="n">
        <v>190</v>
      </c>
      <c r="I15" s="6">
        <f>IF(E15&gt;0, F15/E15, F15*4)</f>
        <v/>
      </c>
      <c r="J15" s="6">
        <f>IF(pl_fireRate&lt;=2, pl_fireRate, 2+SQRT(pl_fireRate-2)*0.6)</f>
        <v/>
      </c>
      <c r="K15" s="6">
        <f>F15*pl_dmg*pl_lvlMult*(1 + pl_multishot*pl_echoMult)</f>
        <v/>
      </c>
      <c r="L15" s="6">
        <f>1 + pl_crit</f>
        <v/>
      </c>
      <c r="M15" s="6">
        <f>0.55 / J15 / 3</f>
        <v/>
      </c>
      <c r="N15" s="6">
        <f>K15*L15/M15</f>
        <v/>
      </c>
      <c r="O15" s="6">
        <f>IF(N15&gt;0, boss_hp/N15, "N/A")</f>
        <v/>
      </c>
      <c r="P15" s="6" t="inlineStr">
        <is>
          <t>炮台自动</t>
        </is>
      </c>
      <c r="Q15" s="6" t="inlineStr">
        <is>
          <t>最多3座 shotCd 0.55</t>
        </is>
      </c>
      <c r="R15" s="6" t="inlineStr">
        <is>
          <t>DPS ≈ 3×dmg/shotCd</t>
        </is>
      </c>
    </row>
    <row r="16">
      <c r="A16" s="8" t="inlineStr">
        <is>
          <t>moonshot</t>
        </is>
      </c>
      <c r="B16" s="8" t="inlineStr">
        <is>
          <t>月之暗面(v18)</t>
        </is>
      </c>
      <c r="C16" s="8" t="inlineStr">
        <is>
          <t>CN</t>
        </is>
      </c>
      <c r="D16" s="8" t="inlineStr">
        <is>
          <t>mine</t>
        </is>
      </c>
      <c r="E16" s="8" t="n">
        <v>0.5</v>
      </c>
      <c r="F16" s="8" t="n">
        <v>18</v>
      </c>
      <c r="G16" s="8" t="n">
        <v>0</v>
      </c>
      <c r="H16" s="8" t="n">
        <v>22</v>
      </c>
      <c r="I16" s="8">
        <f>IF(E16&gt;0, F16/E16, F16*4)</f>
        <v/>
      </c>
      <c r="J16" s="8">
        <f>IF(pl_fireRate&lt;=2, pl_fireRate, 2+SQRT(pl_fireRate-2)*0.6)</f>
        <v/>
      </c>
      <c r="K16" s="8">
        <f>F16*pl_dmg*pl_lvlMult*(1 + pl_multishot*pl_echoMult)</f>
        <v/>
      </c>
      <c r="L16" s="8">
        <f>1 + pl_crit</f>
        <v/>
      </c>
      <c r="M16" s="8">
        <f>E16 / J16</f>
        <v/>
      </c>
      <c r="N16" s="8">
        <f>K16*L16/M16</f>
        <v/>
      </c>
      <c r="O16" s="8">
        <f>IF(N16&gt;0, boss_hp/N16, "N/A")</f>
        <v/>
      </c>
      <c r="P16" s="8" t="inlineStr">
        <is>
          <t>踩到才触发</t>
        </is>
      </c>
      <c r="Q16" s="8" t="inlineStr">
        <is>
          <t>fuseT 1.5</t>
        </is>
      </c>
      <c r="R16" s="8" t="inlineStr"/>
    </row>
    <row r="17">
      <c r="A17" s="6" t="inlineStr">
        <is>
          <t>zhipu</t>
        </is>
      </c>
      <c r="B17" s="6" t="inlineStr">
        <is>
          <t>智谱清言(v18)</t>
        </is>
      </c>
      <c r="C17" s="6" t="inlineStr">
        <is>
          <t>CN</t>
        </is>
      </c>
      <c r="D17" s="6" t="inlineStr">
        <is>
          <t>summon</t>
        </is>
      </c>
      <c r="E17" s="6" t="n">
        <v>6</v>
      </c>
      <c r="F17" s="6" t="n">
        <v>6</v>
      </c>
      <c r="G17" s="6" t="n">
        <v>0</v>
      </c>
      <c r="H17" s="6" t="n">
        <v>180</v>
      </c>
      <c r="I17" s="6">
        <f>IF(E17&gt;0, F17/E17, F17*4)</f>
        <v/>
      </c>
      <c r="J17" s="6">
        <f>IF(pl_fireRate&lt;=2, pl_fireRate, 2+SQRT(pl_fireRate-2)*0.6)</f>
        <v/>
      </c>
      <c r="K17" s="6">
        <f>F17*pl_dmg*pl_lvlMult*(1 + pl_multishot*pl_echoMult)</f>
        <v/>
      </c>
      <c r="L17" s="6">
        <f>1 + pl_crit</f>
        <v/>
      </c>
      <c r="M17" s="6">
        <f>0.8 / J17 / 3 / 0.4</f>
        <v/>
      </c>
      <c r="N17" s="6">
        <f>K17*L17/M17</f>
        <v/>
      </c>
      <c r="O17" s="6">
        <f>IF(N17&gt;0, boss_hp/N17, "N/A")</f>
        <v/>
      </c>
      <c r="P17" s="6" t="inlineStr">
        <is>
          <t>实习生自动</t>
        </is>
      </c>
      <c r="Q17" s="6" t="inlineStr">
        <is>
          <t>3 只 15s shotCd 0.8</t>
        </is>
      </c>
      <c r="R17" s="6" t="inlineStr">
        <is>
          <t>DPS ≈ 3×6/0.8</t>
        </is>
      </c>
    </row>
    <row r="18">
      <c r="A18" s="8" t="inlineStr">
        <is>
          <t>baichuan</t>
        </is>
      </c>
      <c r="B18" s="8" t="inlineStr">
        <is>
          <t>百川智能(v18)</t>
        </is>
      </c>
      <c r="C18" s="8" t="inlineStr">
        <is>
          <t>CN</t>
        </is>
      </c>
      <c r="D18" s="8" t="inlineStr">
        <is>
          <t>field</t>
        </is>
      </c>
      <c r="E18" s="8" t="n">
        <v>4.5</v>
      </c>
      <c r="F18" s="8" t="n">
        <v>0</v>
      </c>
      <c r="G18" s="8" t="n">
        <v>0</v>
      </c>
      <c r="H18" s="8" t="n">
        <v>220</v>
      </c>
      <c r="I18" s="8">
        <f>IF(E18&gt;0, F18/E18, F18*4)</f>
        <v/>
      </c>
      <c r="J18" s="8">
        <f>IF(pl_fireRate&lt;=2, pl_fireRate, 2+SQRT(pl_fireRate-2)*0.6)</f>
        <v/>
      </c>
      <c r="K18" s="8">
        <f>F18*pl_dmg*pl_lvlMult*(1 + pl_multishot*pl_echoMult)</f>
        <v/>
      </c>
      <c r="L18" s="8">
        <f>1 + pl_crit</f>
        <v/>
      </c>
      <c r="M18" s="8">
        <f>1</f>
        <v/>
      </c>
      <c r="N18" s="8">
        <f>22*pl_dmg*pl_lvlMult*L18</f>
        <v/>
      </c>
      <c r="O18" s="8">
        <f>IF(N18&gt;0, boss_hp/N18, "N/A")</f>
        <v/>
      </c>
      <c r="P18" s="8" t="inlineStr">
        <is>
          <t>全命中</t>
        </is>
      </c>
      <c r="Q18" s="8" t="inlineStr">
        <is>
          <t>dps 22 life 9s slow 0.4</t>
        </is>
      </c>
      <c r="R18" s="8" t="inlineStr">
        <is>
          <t>DPS = 22 直接</t>
        </is>
      </c>
    </row>
  </sheetData>
  <conditionalFormatting sqref="N2:N18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O2:O18">
    <cfRule type="colorScale" priority="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8" customWidth="1" min="4" max="4"/>
    <col width="12" customWidth="1" min="5" max="5"/>
    <col width="10" customWidth="1" min="6" max="6"/>
    <col width="22" customWidth="1" min="7" max="7"/>
    <col width="14" customWidth="1" min="8" max="8"/>
    <col width="14" customWidth="1" min="9" max="9"/>
    <col width="8" customWidth="1" min="10" max="10"/>
    <col width="28" customWidth="1" min="11" max="11"/>
  </cols>
  <sheetData>
    <row r="1" ht="32" customHeight="1">
      <c r="A1" s="5" t="inlineStr">
        <is>
          <t>ID</t>
        </is>
      </c>
      <c r="B1" s="5" t="inlineStr">
        <is>
          <t>名称</t>
        </is>
      </c>
      <c r="C1" s="5" t="inlineStr">
        <is>
          <t>kind</t>
        </is>
      </c>
      <c r="D1" s="5" t="inlineStr">
        <is>
          <t>基础 cd</t>
        </is>
      </c>
      <c r="E1" s="5" t="inlineStr">
        <is>
          <t>每发伤害</t>
        </is>
      </c>
      <c r="F1" s="5" t="inlineStr">
        <is>
          <t>射程</t>
        </is>
      </c>
      <c r="G1" s="5" t="inlineStr">
        <is>
          <t>融合配方</t>
        </is>
      </c>
      <c r="H1" s="5" t="inlineStr">
        <is>
          <t>有效 DPS(近似)</t>
        </is>
      </c>
      <c r="I1" s="5" t="inlineStr">
        <is>
          <t>击杀 Boss 秒数</t>
        </is>
      </c>
      <c r="J1" s="5" t="inlineStr">
        <is>
          <t>真质变?</t>
        </is>
      </c>
      <c r="K1" s="5" t="inlineStr">
        <is>
          <t>备注</t>
        </is>
      </c>
    </row>
    <row r="2">
      <c r="A2" s="8" t="inlineStr">
        <is>
          <t>agi</t>
        </is>
      </c>
      <c r="B2" s="8" t="inlineStr">
        <is>
          <t>AGI降临</t>
        </is>
      </c>
      <c r="C2" s="8" t="inlineStr">
        <is>
          <t>leg_agi</t>
        </is>
      </c>
      <c r="D2" s="8" t="n">
        <v>0.12</v>
      </c>
      <c r="E2" s="8" t="n">
        <v>5.5</v>
      </c>
      <c r="F2" s="8" t="n">
        <v>320</v>
      </c>
      <c r="G2" s="8" t="inlineStr">
        <is>
          <t>DeepSeek+ChatGPT</t>
        </is>
      </c>
      <c r="H2" s="8">
        <f>E2*(1+pl_crit)*pl_dmg/D2</f>
        <v/>
      </c>
      <c r="I2" s="8">
        <f>boss_hp/H2</f>
        <v/>
      </c>
      <c r="J2" s="8" t="inlineStr">
        <is>
          <t>否</t>
        </is>
      </c>
      <c r="K2" s="8" t="inlineStr">
        <is>
          <t>天罚 60 每 3s + 常规追踪弹</t>
        </is>
      </c>
    </row>
    <row r="3">
      <c r="A3" s="6" t="inlineStr">
        <is>
          <t>price_war</t>
        </is>
      </c>
      <c r="B3" s="6" t="inlineStr">
        <is>
          <t>百模大战·价格屠夫</t>
        </is>
      </c>
      <c r="C3" s="6" t="inlineStr">
        <is>
          <t>leg_pea</t>
        </is>
      </c>
      <c r="D3" s="6" t="n">
        <v>0.5</v>
      </c>
      <c r="E3" s="6" t="n">
        <v>48</v>
      </c>
      <c r="F3" s="6" t="n">
        <v>280</v>
      </c>
      <c r="G3" s="6" t="inlineStr">
        <is>
          <t>通义+豆包</t>
        </is>
      </c>
      <c r="H3" s="6">
        <f>E3*(1+pl_crit)*pl_dmg/D3</f>
        <v/>
      </c>
      <c r="I3" s="6">
        <f>boss_hp/H3</f>
        <v/>
      </c>
      <c r="J3" s="6" t="inlineStr">
        <is>
          <t>否</t>
        </is>
      </c>
      <c r="K3" s="6" t="inlineStr">
        <is>
          <t>15发追踪豆</t>
        </is>
      </c>
    </row>
    <row r="4">
      <c r="A4" s="8" t="inlineStr">
        <is>
          <t>tenx</t>
        </is>
      </c>
      <c r="B4" s="8" t="inlineStr">
        <is>
          <t>十倍程序员</t>
        </is>
      </c>
      <c r="C4" s="8" t="inlineStr">
        <is>
          <t>leg_drone</t>
        </is>
      </c>
      <c r="D4" s="8" t="n">
        <v>1.2</v>
      </c>
      <c r="E4" s="8" t="n">
        <v>113</v>
      </c>
      <c r="F4" s="8" t="n">
        <v>170</v>
      </c>
      <c r="G4" s="8" t="inlineStr">
        <is>
          <t>Claude+Copilot</t>
        </is>
      </c>
      <c r="H4" s="8">
        <f>E4*(1+pl_crit)*pl_dmg/D4</f>
        <v/>
      </c>
      <c r="I4" s="8">
        <f>boss_hp/H4</f>
        <v/>
      </c>
      <c r="J4" s="8" t="inlineStr">
        <is>
          <t>否</t>
        </is>
      </c>
      <c r="K4" s="8" t="inlineStr">
        <is>
          <t>4 僚机+齐射</t>
        </is>
      </c>
    </row>
    <row r="5">
      <c r="A5" s="6" t="inlineStr">
        <is>
          <t>pie_feast</t>
        </is>
      </c>
      <c r="B5" s="6" t="inlineStr">
        <is>
          <t>画饼充饥</t>
        </is>
      </c>
      <c r="C5" s="6" t="inlineStr">
        <is>
          <t>leg_pie</t>
        </is>
      </c>
      <c r="D5" s="6" t="n">
        <v>1.5</v>
      </c>
      <c r="E5" s="6" t="n">
        <v>36</v>
      </c>
      <c r="F5" s="6" t="n">
        <v>210</v>
      </c>
      <c r="G5" s="6" t="inlineStr">
        <is>
          <t>文心+MJ</t>
        </is>
      </c>
      <c r="H5" s="6">
        <f>E5*(1+pl_crit)*pl_dmg/D5</f>
        <v/>
      </c>
      <c r="I5" s="6">
        <f>boss_hp/H5</f>
        <v/>
      </c>
      <c r="J5" s="6" t="inlineStr">
        <is>
          <t>是</t>
        </is>
      </c>
      <c r="K5" s="6" t="inlineStr">
        <is>
          <t>燃烧地带 10dps×5s</t>
        </is>
      </c>
    </row>
    <row r="6">
      <c r="A6" s="8" t="inlineStr">
        <is>
          <t>infinite_ctx</t>
        </is>
      </c>
      <c r="B6" s="8" t="inlineStr">
        <is>
          <t>无限上下文</t>
        </is>
      </c>
      <c r="C6" s="8" t="inlineStr">
        <is>
          <t>leg_beam</t>
        </is>
      </c>
      <c r="D6" s="8" t="n">
        <v>0.12</v>
      </c>
      <c r="E6" s="8" t="n">
        <v>6</v>
      </c>
      <c r="F6" s="8" t="n">
        <v>9999</v>
      </c>
      <c r="G6" s="8" t="inlineStr">
        <is>
          <t>Kimi+Gemini</t>
        </is>
      </c>
      <c r="H6" s="8">
        <f>E6*(1+pl_crit)*pl_dmg/D6</f>
        <v/>
      </c>
      <c r="I6" s="8">
        <f>boss_hp/H6</f>
        <v/>
      </c>
      <c r="J6" s="8" t="inlineStr">
        <is>
          <t>否</t>
        </is>
      </c>
      <c r="K6" s="8" t="inlineStr">
        <is>
          <t>按住持续激光</t>
        </is>
      </c>
    </row>
    <row r="7">
      <c r="A7" s="6" t="inlineStr">
        <is>
          <t>mouthpiece</t>
        </is>
      </c>
      <c r="B7" s="6" t="inlineStr">
        <is>
          <t>职场嘴替</t>
        </is>
      </c>
      <c r="C7" s="6" t="inlineStr">
        <is>
          <t>leg_boom</t>
        </is>
      </c>
      <c r="D7" s="6" t="n">
        <v>1.3</v>
      </c>
      <c r="E7" s="6" t="n">
        <v>66</v>
      </c>
      <c r="F7" s="6" t="n">
        <v>200</v>
      </c>
      <c r="G7" s="6" t="inlineStr">
        <is>
          <t>GLM+Grok</t>
        </is>
      </c>
      <c r="H7" s="6">
        <f>E7*(1+pl_crit)*pl_dmg/D7</f>
        <v/>
      </c>
      <c r="I7" s="6">
        <f>boss_hp/H7</f>
        <v/>
      </c>
      <c r="J7" s="6" t="inlineStr">
        <is>
          <t>否</t>
        </is>
      </c>
      <c r="K7" s="6" t="inlineStr">
        <is>
          <t>X回旋镖+链电 zap</t>
        </is>
      </c>
    </row>
  </sheetData>
  <conditionalFormatting sqref="J2:J7">
    <cfRule type="cellIs" priority="1" operator="equal" dxfId="0">
      <formula>"否"</formula>
    </cfRule>
    <cfRule type="cellIs" priority="2" operator="equal" dxfId="1">
      <formula>"是"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20" customWidth="1" min="4" max="4"/>
    <col width="8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  <col width="14" customWidth="1" min="11" max="11"/>
    <col width="24" customWidth="1" min="12" max="12"/>
  </cols>
  <sheetData>
    <row r="1" ht="32" customHeight="1">
      <c r="A1" s="5" t="inlineStr">
        <is>
          <t>ID</t>
        </is>
      </c>
      <c r="B1" s="5" t="inlineStr">
        <is>
          <t>名称</t>
        </is>
      </c>
      <c r="C1" s="5" t="inlineStr">
        <is>
          <t>persona</t>
        </is>
      </c>
      <c r="D1" s="5" t="inlineStr">
        <is>
          <t>触发方式</t>
        </is>
      </c>
      <c r="E1" s="5" t="inlineStr">
        <is>
          <t>cd(s)</t>
        </is>
      </c>
      <c r="F1" s="5" t="inlineStr">
        <is>
          <t>Lv.1 伤害</t>
        </is>
      </c>
      <c r="G1" s="5" t="inlineStr">
        <is>
          <t>Lv.2 伤害</t>
        </is>
      </c>
      <c r="H1" s="5" t="inlineStr">
        <is>
          <t>Lv.3 伤害</t>
        </is>
      </c>
      <c r="I1" s="5" t="inlineStr">
        <is>
          <t>半径/射程</t>
        </is>
      </c>
      <c r="J1" s="5" t="inlineStr">
        <is>
          <t>自动追踪</t>
        </is>
      </c>
      <c r="K1" s="5" t="inlineStr">
        <is>
          <t>Lv.3 单体 DPS</t>
        </is>
      </c>
      <c r="L1" s="5" t="inlineStr">
        <is>
          <t>备注</t>
        </is>
      </c>
    </row>
    <row r="2">
      <c r="A2" s="8" t="inlineStr">
        <is>
          <t>keyboard</t>
        </is>
      </c>
      <c r="B2" s="8" t="inlineStr">
        <is>
          <t>机械键盘</t>
        </is>
      </c>
      <c r="C2" s="8" t="inlineStr">
        <is>
          <t>通用</t>
        </is>
      </c>
      <c r="D2" s="8" t="inlineStr">
        <is>
          <t>贴身近战扇形</t>
        </is>
      </c>
      <c r="E2" s="8" t="n">
        <v>1.6</v>
      </c>
      <c r="F2" s="8" t="n">
        <v>14</v>
      </c>
      <c r="G2" s="8" t="n">
        <v>20</v>
      </c>
      <c r="H2" s="8" t="n">
        <v>28</v>
      </c>
      <c r="I2" s="8" t="inlineStr">
        <is>
          <t>90 扇形</t>
        </is>
      </c>
      <c r="J2" s="8" t="inlineStr">
        <is>
          <t>就近</t>
        </is>
      </c>
      <c r="K2" s="8">
        <f>IF(E2&gt;0, H2/E2, IF(H2&gt;0, H2, 0))</f>
        <v/>
      </c>
      <c r="L2" s="8" t="n"/>
    </row>
    <row r="3">
      <c r="A3" s="6" t="inlineStr">
        <is>
          <t>stapler</t>
        </is>
      </c>
      <c r="B3" s="6" t="inlineStr">
        <is>
          <t>订书机炮台</t>
        </is>
      </c>
      <c r="C3" s="6" t="inlineStr">
        <is>
          <t>通用</t>
        </is>
      </c>
      <c r="D3" s="6" t="inlineStr">
        <is>
          <t>部署炮台</t>
        </is>
      </c>
      <c r="E3" s="6" t="n">
        <v>6</v>
      </c>
      <c r="F3" s="6" t="n">
        <v>6</v>
      </c>
      <c r="G3" s="6" t="n">
        <v>9</v>
      </c>
      <c r="H3" s="6" t="n">
        <v>12</v>
      </c>
      <c r="I3" s="6" t="inlineStr">
        <is>
          <t>170 索敌</t>
        </is>
      </c>
      <c r="J3" s="6" t="inlineStr">
        <is>
          <t>炮台自动</t>
        </is>
      </c>
      <c r="K3" s="6">
        <f>IF(E3&gt;0, H3/E3, IF(H3&gt;0, H3, 0))</f>
        <v/>
      </c>
      <c r="L3" s="6" t="n"/>
    </row>
    <row r="4">
      <c r="A4" s="8" t="inlineStr">
        <is>
          <t>monitor</t>
        </is>
      </c>
      <c r="B4" s="8" t="inlineStr">
        <is>
          <t>显示器回旋盾</t>
        </is>
      </c>
      <c r="C4" s="8" t="inlineStr">
        <is>
          <t>通用</t>
        </is>
      </c>
      <c r="D4" s="8" t="inlineStr">
        <is>
          <t>环绕撞击</t>
        </is>
      </c>
      <c r="E4" s="8" t="n">
        <v>0</v>
      </c>
      <c r="F4" s="8" t="n">
        <v>10</v>
      </c>
      <c r="G4" s="8" t="n">
        <v>14</v>
      </c>
      <c r="H4" s="8" t="n">
        <v>18</v>
      </c>
      <c r="I4" s="8" t="inlineStr">
        <is>
          <t>34 环绕</t>
        </is>
      </c>
      <c r="J4" s="8" t="inlineStr">
        <is>
          <t>全环命中</t>
        </is>
      </c>
      <c r="K4" s="8">
        <f>IF(E4&gt;0, H4/E4, IF(H4&gt;0, H4, 0))</f>
        <v/>
      </c>
      <c r="L4" s="8" t="n"/>
    </row>
    <row r="5">
      <c r="A5" s="6" t="inlineStr">
        <is>
          <t>mug</t>
        </is>
      </c>
      <c r="B5" s="6" t="inlineStr">
        <is>
          <t>马克杯流星锤</t>
        </is>
      </c>
      <c r="C5" s="6" t="inlineStr">
        <is>
          <t>通用</t>
        </is>
      </c>
      <c r="D5" s="6" t="inlineStr">
        <is>
          <t>甩杯 AOE</t>
        </is>
      </c>
      <c r="E5" s="6" t="n">
        <v>2.2</v>
      </c>
      <c r="F5" s="6" t="n">
        <v>16</v>
      </c>
      <c r="G5" s="6" t="n">
        <v>24</v>
      </c>
      <c r="H5" s="6" t="n">
        <v>34</v>
      </c>
      <c r="I5" s="6" t="inlineStr">
        <is>
          <t>230 索敌</t>
        </is>
      </c>
      <c r="J5" s="6" t="inlineStr">
        <is>
          <t>就近</t>
        </is>
      </c>
      <c r="K5" s="6">
        <f>IF(E5&gt;0, H5/E5, IF(H5&gt;0, H5, 0))</f>
        <v/>
      </c>
      <c r="L5" s="6" t="n"/>
    </row>
    <row r="6">
      <c r="A6" s="8" t="inlineStr">
        <is>
          <t>shredder</t>
        </is>
      </c>
      <c r="B6" s="8" t="inlineStr">
        <is>
          <t>碎纸机光环</t>
        </is>
      </c>
      <c r="C6" s="8" t="inlineStr">
        <is>
          <t>通用</t>
        </is>
      </c>
      <c r="D6" s="8" t="inlineStr">
        <is>
          <t>贴身持续</t>
        </is>
      </c>
      <c r="E6" s="8" t="n">
        <v>0</v>
      </c>
      <c r="F6" s="8" t="n">
        <v>8</v>
      </c>
      <c r="G6" s="8" t="n">
        <v>12</v>
      </c>
      <c r="H6" s="8" t="n">
        <v>17</v>
      </c>
      <c r="I6" s="8" t="inlineStr">
        <is>
          <t>56 半径</t>
        </is>
      </c>
      <c r="J6" s="8" t="inlineStr">
        <is>
          <t>全范围命中</t>
        </is>
      </c>
      <c r="K6" s="8">
        <f>IF(E6&gt;0, H6/E6, IF(H6&gt;0, H6, 0))</f>
        <v/>
      </c>
      <c r="L6" s="8" t="n"/>
    </row>
    <row r="7">
      <c r="A7" s="6" t="inlineStr">
        <is>
          <t>laserpen</t>
        </is>
      </c>
      <c r="B7" s="6" t="inlineStr">
        <is>
          <t>会议激光笔</t>
        </is>
      </c>
      <c r="C7" s="6" t="inlineStr">
        <is>
          <t>通用</t>
        </is>
      </c>
      <c r="D7" s="6" t="inlineStr">
        <is>
          <t>穿透射线</t>
        </is>
      </c>
      <c r="E7" s="6" t="n">
        <v>3.2</v>
      </c>
      <c r="F7" s="6" t="n">
        <v>22</v>
      </c>
      <c r="G7" s="6" t="n">
        <v>32</v>
      </c>
      <c r="H7" s="6" t="n">
        <v>46</v>
      </c>
      <c r="I7" s="6" t="inlineStr">
        <is>
          <t>270</t>
        </is>
      </c>
      <c r="J7" s="6" t="inlineStr">
        <is>
          <t>就近</t>
        </is>
      </c>
      <c r="K7" s="6">
        <f>IF(E7&gt;0, H7/E7, IF(H7&gt;0, H7, 0))</f>
        <v/>
      </c>
      <c r="L7" s="6" t="n"/>
    </row>
    <row r="8">
      <c r="A8" s="8" t="inlineStr">
        <is>
          <t>oa_form</t>
        </is>
      </c>
      <c r="B8" s="8" t="inlineStr">
        <is>
          <t>OA审批流公文包</t>
        </is>
      </c>
      <c r="C8" s="8" t="inlineStr">
        <is>
          <t>optimizer</t>
        </is>
      </c>
      <c r="D8" s="8" t="inlineStr">
        <is>
          <t>命中减速+延迟引爆</t>
        </is>
      </c>
      <c r="E8" s="8" t="n">
        <v>2.6</v>
      </c>
      <c r="F8" s="8" t="n">
        <v>8</v>
      </c>
      <c r="G8" s="8" t="n">
        <v>12</v>
      </c>
      <c r="H8" s="8" t="n">
        <v>17</v>
      </c>
      <c r="I8" s="8" t="inlineStr">
        <is>
          <t>220 索敌</t>
        </is>
      </c>
      <c r="J8" s="8" t="inlineStr">
        <is>
          <t>就近</t>
        </is>
      </c>
      <c r="K8" s="8">
        <f>IF(E8&gt;0, H8/E8, IF(H8&gt;0, H8, 0))</f>
        <v/>
      </c>
      <c r="L8" s="8" t="n"/>
    </row>
    <row r="9">
      <c r="A9" s="6" t="inlineStr">
        <is>
          <t>fire_sprinkler</t>
        </is>
      </c>
      <c r="B9" s="6" t="inlineStr">
        <is>
          <t>消防警报喷淋</t>
        </is>
      </c>
      <c r="C9" s="6" t="inlineStr">
        <is>
          <t>optimizer</t>
        </is>
      </c>
      <c r="D9" s="6" t="inlineStr">
        <is>
          <t>部署减速区</t>
        </is>
      </c>
      <c r="E9" s="6" t="n">
        <v>8</v>
      </c>
      <c r="F9" s="6" t="n">
        <v>6</v>
      </c>
      <c r="G9" s="6" t="n">
        <v>9</v>
      </c>
      <c r="H9" s="6" t="n">
        <v>13</v>
      </c>
      <c r="I9" s="6" t="inlineStr">
        <is>
          <t>70 半径</t>
        </is>
      </c>
      <c r="J9" s="6" t="inlineStr">
        <is>
          <t>全范围命中</t>
        </is>
      </c>
      <c r="K9" s="6">
        <f>IF(E9&gt;0, H9/E9, IF(H9&gt;0, H9, 0))</f>
        <v/>
      </c>
      <c r="L9" s="6" t="n"/>
    </row>
    <row r="10">
      <c r="A10" s="8" t="inlineStr">
        <is>
          <t>meeting_room</t>
        </is>
      </c>
      <c r="B10" s="8" t="inlineStr">
        <is>
          <t>会议室预定表</t>
        </is>
      </c>
      <c r="C10" s="8" t="inlineStr">
        <is>
          <t>optimizer</t>
        </is>
      </c>
      <c r="D10" s="8" t="inlineStr">
        <is>
          <t>部署灼烧区</t>
        </is>
      </c>
      <c r="E10" s="8" t="n">
        <v>9</v>
      </c>
      <c r="F10" s="8" t="n">
        <v>3</v>
      </c>
      <c r="G10" s="8" t="n">
        <v>5</v>
      </c>
      <c r="H10" s="8" t="n">
        <v>7</v>
      </c>
      <c r="I10" s="8" t="inlineStr">
        <is>
          <t>66 半径</t>
        </is>
      </c>
      <c r="J10" s="8" t="inlineStr">
        <is>
          <t>全范围命中</t>
        </is>
      </c>
      <c r="K10" s="8">
        <f>IF(E10&gt;0, H10/E10, IF(H10&gt;0, H10, 0))</f>
        <v/>
      </c>
      <c r="L10" s="8" t="n"/>
    </row>
    <row r="11">
      <c r="A11" s="6" t="inlineStr">
        <is>
          <t>online_badge</t>
        </is>
      </c>
      <c r="B11" s="6" t="inlineStr">
        <is>
          <t>在线状态徽章</t>
        </is>
      </c>
      <c r="C11" s="6" t="inlineStr">
        <is>
          <t>slacker</t>
        </is>
      </c>
      <c r="D11" s="6" t="inlineStr">
        <is>
          <t>移动中标记+引爆</t>
        </is>
      </c>
      <c r="E11" s="6" t="n">
        <v>0.6</v>
      </c>
      <c r="F11" s="6" t="n">
        <v>0</v>
      </c>
      <c r="G11" s="6" t="n">
        <v>0</v>
      </c>
      <c r="H11" s="6" t="n">
        <v>0</v>
      </c>
      <c r="I11" s="6" t="inlineStr">
        <is>
          <t>90</t>
        </is>
      </c>
      <c r="J11" s="6" t="inlineStr">
        <is>
          <t>概率标记</t>
        </is>
      </c>
      <c r="K11" s="6">
        <f>IF(E11&gt;0, H11/E11, IF(H11&gt;0, H11, 0))</f>
        <v/>
      </c>
      <c r="L11" s="6" t="n"/>
    </row>
    <row r="12">
      <c r="A12" s="8" t="inlineStr">
        <is>
          <t>fitness_ring</t>
        </is>
      </c>
      <c r="B12" s="8" t="inlineStr">
        <is>
          <t>健身环挑战</t>
        </is>
      </c>
      <c r="C12" s="8" t="inlineStr">
        <is>
          <t>slacker</t>
        </is>
      </c>
      <c r="D12" s="8" t="inlineStr">
        <is>
          <t>移动尾迹定身圈</t>
        </is>
      </c>
      <c r="E12" s="8" t="n">
        <v>1.4</v>
      </c>
      <c r="F12" s="8" t="n">
        <v>0</v>
      </c>
      <c r="G12" s="8" t="n">
        <v>0</v>
      </c>
      <c r="H12" s="8" t="n">
        <v>0</v>
      </c>
      <c r="I12" s="8" t="inlineStr">
        <is>
          <t>48 半径</t>
        </is>
      </c>
      <c r="J12" s="8" t="inlineStr">
        <is>
          <t>尾迹</t>
        </is>
      </c>
      <c r="K12" s="8">
        <f>IF(E12&gt;0, H12/E12, IF(H12&gt;0, H12, 0))</f>
        <v/>
      </c>
      <c r="L12" s="8" t="n"/>
    </row>
  </sheetData>
  <conditionalFormatting sqref="K2:K12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32" customWidth="1" min="7" max="7"/>
    <col width="26" customWidth="1" min="8" max="8"/>
    <col width="20" customWidth="1" min="9" max="9"/>
  </cols>
  <sheetData>
    <row r="1" ht="32" customHeight="1">
      <c r="A1" s="5" t="inlineStr">
        <is>
          <t>ID</t>
        </is>
      </c>
      <c r="B1" s="5" t="inlineStr">
        <is>
          <t>名称</t>
        </is>
      </c>
      <c r="C1" s="5" t="inlineStr">
        <is>
          <t>persona</t>
        </is>
      </c>
      <c r="D1" s="5" t="inlineStr">
        <is>
          <t>Lv.1 cd</t>
        </is>
      </c>
      <c r="E1" s="5" t="inlineStr">
        <is>
          <t>Lv.2 cd</t>
        </is>
      </c>
      <c r="F1" s="5" t="inlineStr">
        <is>
          <t>Lv.3 cd</t>
        </is>
      </c>
      <c r="G1" s="5" t="inlineStr">
        <is>
          <t>效果概述</t>
        </is>
      </c>
      <c r="H1" s="5" t="inlineStr">
        <is>
          <t>Lv.3 秒数值</t>
        </is>
      </c>
      <c r="I1" s="5" t="inlineStr">
        <is>
          <t>备注</t>
        </is>
      </c>
    </row>
    <row r="2">
      <c r="A2" s="8" t="inlineStr">
        <is>
          <t>blink</t>
        </is>
      </c>
      <c r="B2" s="8" t="inlineStr">
        <is>
          <t>摸鱼瞬移</t>
        </is>
      </c>
      <c r="C2" s="8" t="inlineStr">
        <is>
          <t>通用</t>
        </is>
      </c>
      <c r="D2" s="8" t="n">
        <v>9</v>
      </c>
      <c r="E2" s="8" t="n">
        <v>7</v>
      </c>
      <c r="F2" s="8" t="n">
        <v>5</v>
      </c>
      <c r="G2" s="8" t="inlineStr">
        <is>
          <t>向移动方向瞬移</t>
        </is>
      </c>
      <c r="H2" s="8" t="inlineStr">
        <is>
          <t>185px</t>
        </is>
      </c>
      <c r="I2" s="8" t="inlineStr"/>
    </row>
    <row r="3">
      <c r="A3" s="6" t="inlineStr">
        <is>
          <t>layoff</t>
        </is>
      </c>
      <c r="B3" s="6" t="inlineStr">
        <is>
          <t>裁员通知</t>
        </is>
      </c>
      <c r="C3" s="6" t="inlineStr">
        <is>
          <t>通用</t>
        </is>
      </c>
      <c r="D3" s="6" t="n">
        <v>12</v>
      </c>
      <c r="E3" s="6" t="n">
        <v>10</v>
      </c>
      <c r="F3" s="6" t="n">
        <v>8</v>
      </c>
      <c r="G3" s="6" t="inlineStr">
        <is>
          <t>贯穿光束 dmg + maxHp%</t>
        </is>
      </c>
      <c r="H3" s="6" t="inlineStr">
        <is>
          <t>80 + 12%maxHp(Boss上限150)</t>
        </is>
      </c>
      <c r="I3" s="6" t="inlineStr"/>
    </row>
    <row r="4">
      <c r="A4" s="8" t="inlineStr">
        <is>
          <t>bing_shield</t>
        </is>
      </c>
      <c r="B4" s="8" t="inlineStr">
        <is>
          <t>画饼护盾</t>
        </is>
      </c>
      <c r="C4" s="8" t="inlineStr">
        <is>
          <t>通用</t>
        </is>
      </c>
      <c r="D4" s="8" t="n">
        <v>16</v>
      </c>
      <c r="E4" s="8" t="n">
        <v>13</v>
      </c>
      <c r="F4" s="8" t="n">
        <v>10</v>
      </c>
      <c r="G4" s="8" t="inlineStr">
        <is>
          <t>短时无敌</t>
        </is>
      </c>
      <c r="H4" s="8" t="inlineStr">
        <is>
          <t>2.0s 无敌</t>
        </is>
      </c>
      <c r="I4" s="8" t="inlineStr"/>
    </row>
    <row r="5">
      <c r="A5" s="6" t="inlineStr">
        <is>
          <t>teambuild</t>
        </is>
      </c>
      <c r="B5" s="6" t="inlineStr">
        <is>
          <t>团建号召</t>
        </is>
      </c>
      <c r="C5" s="6" t="inlineStr">
        <is>
          <t>通用</t>
        </is>
      </c>
      <c r="D5" s="6" t="n">
        <v>14</v>
      </c>
      <c r="E5" s="6" t="n">
        <v>11</v>
      </c>
      <c r="F5" s="6" t="n">
        <v>9</v>
      </c>
      <c r="G5" s="6" t="inlineStr">
        <is>
          <t>拽拉眩晕+易伤</t>
        </is>
      </c>
      <c r="H5" s="6" t="inlineStr">
        <is>
          <t>230 半径</t>
        </is>
      </c>
      <c r="I5" s="6" t="inlineStr"/>
    </row>
    <row r="6">
      <c r="A6" s="8" t="inlineStr">
        <is>
          <t>force_mute</t>
        </is>
      </c>
      <c r="B6" s="8" t="inlineStr">
        <is>
          <t>强制五分钟静音</t>
        </is>
      </c>
      <c r="C6" s="8" t="inlineStr">
        <is>
          <t>optimizer</t>
        </is>
      </c>
      <c r="D6" s="8" t="n">
        <v>14</v>
      </c>
      <c r="E6" s="8" t="n">
        <v>12</v>
      </c>
      <c r="F6" s="8" t="n">
        <v>10</v>
      </c>
      <c r="G6" s="8" t="inlineStr">
        <is>
          <t>扇形眩晕+减速</t>
        </is>
      </c>
      <c r="H6" s="8" t="inlineStr">
        <is>
          <t>240 扇形</t>
        </is>
      </c>
      <c r="I6" s="8" t="inlineStr"/>
    </row>
    <row r="7">
      <c r="A7" s="6" t="inlineStr">
        <is>
          <t>linked_fate</t>
        </is>
      </c>
      <c r="B7" s="6" t="inlineStr">
        <is>
          <t>花名册点对点连坐</t>
        </is>
      </c>
      <c r="C7" s="6" t="inlineStr">
        <is>
          <t>optimizer</t>
        </is>
      </c>
      <c r="D7" s="6" t="n">
        <v>20</v>
      </c>
      <c r="E7" s="6" t="n">
        <v>17</v>
      </c>
      <c r="F7" s="6" t="n">
        <v>14</v>
      </c>
      <c r="G7" s="6" t="inlineStr">
        <is>
          <t>锁链拉扯</t>
        </is>
      </c>
      <c r="H7" s="6" t="inlineStr">
        <is>
          <t>全场就近 2 敌 8s</t>
        </is>
      </c>
      <c r="I7" s="6" t="inlineStr"/>
    </row>
    <row r="8">
      <c r="A8" s="8" t="inlineStr">
        <is>
          <t>temp_offline</t>
        </is>
      </c>
      <c r="B8" s="8" t="inlineStr">
        <is>
          <t>临时下线</t>
        </is>
      </c>
      <c r="C8" s="8" t="inlineStr">
        <is>
          <t>slacker</t>
        </is>
      </c>
      <c r="D8" s="8" t="n">
        <v>11</v>
      </c>
      <c r="E8" s="8" t="n">
        <v>9</v>
      </c>
      <c r="F8" s="8" t="n">
        <v>7</v>
      </c>
      <c r="G8" s="8" t="inlineStr">
        <is>
          <t>隐身+无敌+穿墙冲刺</t>
        </is>
      </c>
      <c r="H8" s="8" t="inlineStr">
        <is>
          <t>1.6s</t>
        </is>
      </c>
      <c r="I8" s="8" t="inlineStr"/>
    </row>
    <row r="9">
      <c r="A9" s="6" t="inlineStr">
        <is>
          <t>slack_appeal</t>
        </is>
      </c>
      <c r="B9" s="6" t="inlineStr">
        <is>
          <t>摸鱼申诉信</t>
        </is>
      </c>
      <c r="C9" s="6" t="inlineStr">
        <is>
          <t>slacker</t>
        </is>
      </c>
      <c r="D9" s="6" t="n">
        <v>22</v>
      </c>
      <c r="E9" s="6" t="n">
        <v>18</v>
      </c>
      <c r="F9" s="6" t="n">
        <v>15</v>
      </c>
      <c r="G9" s="6" t="inlineStr">
        <is>
          <t>真摸鱼回血+免死</t>
        </is>
      </c>
      <c r="H9" s="6" t="inlineStr">
        <is>
          <t>40%maxHp + 1 免死</t>
        </is>
      </c>
      <c r="I9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" customWidth="1" min="3" max="3"/>
    <col width="8" customWidth="1" min="4" max="4"/>
    <col width="12" customWidth="1" min="5" max="5"/>
    <col width="10" customWidth="1" min="6" max="6"/>
    <col width="40" customWidth="1" min="7" max="7"/>
    <col width="20" customWidth="1" min="8" max="8"/>
  </cols>
  <sheetData>
    <row r="1" ht="32" customHeight="1">
      <c r="A1" s="5" t="inlineStr">
        <is>
          <t>ID</t>
        </is>
      </c>
      <c r="B1" s="5" t="inlineStr">
        <is>
          <t>名称</t>
        </is>
      </c>
      <c r="C1" s="5" t="inlineStr">
        <is>
          <t>max</t>
        </is>
      </c>
      <c r="D1" s="5" t="inlineStr">
        <is>
          <t>rarity</t>
        </is>
      </c>
      <c r="E1" s="5" t="inlineStr">
        <is>
          <t>persona</t>
        </is>
      </c>
      <c r="F1" s="5" t="inlineStr">
        <is>
          <t>group</t>
        </is>
      </c>
      <c r="G1" s="5" t="inlineStr">
        <is>
          <t>效果</t>
        </is>
      </c>
      <c r="H1" s="5" t="inlineStr">
        <is>
          <t>标签</t>
        </is>
      </c>
    </row>
    <row r="2">
      <c r="A2" s="8" t="inlineStr">
        <is>
          <t>moyu_master</t>
        </is>
      </c>
      <c r="B2" s="8" t="inlineStr">
        <is>
          <t>摸鱼学大师</t>
        </is>
      </c>
      <c r="C2" s="8" t="n">
        <v>3</v>
      </c>
      <c r="D2" s="9" t="inlineStr">
        <is>
          <t>白</t>
        </is>
      </c>
      <c r="E2" s="8" t="inlineStr">
        <is>
          <t>通用</t>
        </is>
      </c>
      <c r="F2" s="8" t="inlineStr">
        <is>
          <t>移速</t>
        </is>
      </c>
      <c r="G2" s="8" t="inlineStr">
        <is>
          <t>移速 +15%/层</t>
        </is>
      </c>
      <c r="H2" s="8" t="inlineStr"/>
    </row>
    <row r="3">
      <c r="A3" s="6" t="inlineStr">
        <is>
          <t>paid_toilet</t>
        </is>
      </c>
      <c r="B3" s="6" t="inlineStr">
        <is>
          <t>带薪如厕</t>
        </is>
      </c>
      <c r="C3" s="6" t="n">
        <v>2</v>
      </c>
      <c r="D3" s="9" t="inlineStr">
        <is>
          <t>白</t>
        </is>
      </c>
      <c r="E3" s="6" t="inlineStr">
        <is>
          <t>通用</t>
        </is>
      </c>
      <c r="F3" s="6" t="inlineStr">
        <is>
          <t>回复</t>
        </is>
      </c>
      <c r="G3" s="6" t="inlineStr">
        <is>
          <t>站定1s后每秒回3HP/层</t>
        </is>
      </c>
      <c r="H3" s="6" t="inlineStr"/>
    </row>
    <row r="4">
      <c r="A4" s="8" t="inlineStr">
        <is>
          <t>pua_immunity</t>
        </is>
      </c>
      <c r="B4" s="8" t="inlineStr">
        <is>
          <t>PUA免疫</t>
        </is>
      </c>
      <c r="C4" s="8" t="n">
        <v>3</v>
      </c>
      <c r="D4" s="9" t="inlineStr">
        <is>
          <t>白</t>
        </is>
      </c>
      <c r="E4" s="8" t="inlineStr">
        <is>
          <t>通用</t>
        </is>
      </c>
      <c r="F4" s="8" t="inlineStr">
        <is>
          <t>减伤</t>
        </is>
      </c>
      <c r="G4" s="8" t="inlineStr">
        <is>
          <t>受伤 -20%/层</t>
        </is>
      </c>
      <c r="H4" s="8" t="inlineStr"/>
    </row>
    <row r="5">
      <c r="A5" s="6" t="inlineStr">
        <is>
          <t>manage_up</t>
        </is>
      </c>
      <c r="B5" s="6" t="inlineStr">
        <is>
          <t>向上管理</t>
        </is>
      </c>
      <c r="C5" s="6" t="n">
        <v>3</v>
      </c>
      <c r="D5" s="9" t="inlineStr">
        <is>
          <t>白</t>
        </is>
      </c>
      <c r="E5" s="6" t="inlineStr">
        <is>
          <t>通用</t>
        </is>
      </c>
      <c r="F5" s="6" t="inlineStr">
        <is>
          <t>经验</t>
        </is>
      </c>
      <c r="G5" s="6" t="inlineStr">
        <is>
          <t>经验 +25%/层</t>
        </is>
      </c>
      <c r="H5" s="6" t="inlineStr"/>
    </row>
    <row r="6">
      <c r="A6" s="8" t="inlineStr">
        <is>
          <t>resume_gilding</t>
        </is>
      </c>
      <c r="B6" s="8" t="inlineStr">
        <is>
          <t>简历镀金</t>
        </is>
      </c>
      <c r="C6" s="8" t="n">
        <v>1</v>
      </c>
      <c r="D6" s="10" t="inlineStr">
        <is>
          <t>绿</t>
        </is>
      </c>
      <c r="E6" s="8" t="inlineStr">
        <is>
          <t>通用</t>
        </is>
      </c>
      <c r="F6" s="8" t="inlineStr">
        <is>
          <t>生命</t>
        </is>
      </c>
      <c r="G6" s="8" t="inlineStr">
        <is>
          <t>升级+10最大HP</t>
        </is>
      </c>
      <c r="H6" s="8" t="inlineStr"/>
    </row>
    <row r="7">
      <c r="A7" s="6" t="inlineStr">
        <is>
          <t>fubao_996</t>
        </is>
      </c>
      <c r="B7" s="6" t="inlineStr">
        <is>
          <t>996福报</t>
        </is>
      </c>
      <c r="C7" s="6" t="n">
        <v>2</v>
      </c>
      <c r="D7" s="10" t="inlineStr">
        <is>
          <t>绿</t>
        </is>
      </c>
      <c r="E7" s="6" t="inlineStr">
        <is>
          <t>通用</t>
        </is>
      </c>
      <c r="F7" s="6" t="inlineStr">
        <is>
          <t>射速</t>
        </is>
      </c>
      <c r="G7" s="6" t="inlineStr">
        <is>
          <t>射速+25%/层 但最大HP-10</t>
        </is>
      </c>
      <c r="H7" s="6" t="inlineStr">
        <is>
          <t>双刃剑</t>
        </is>
      </c>
    </row>
    <row r="8">
      <c r="A8" s="8" t="inlineStr">
        <is>
          <t>huabing</t>
        </is>
      </c>
      <c r="B8" s="8" t="inlineStr">
        <is>
          <t>画饼充饥</t>
        </is>
      </c>
      <c r="C8" s="8" t="n">
        <v>2</v>
      </c>
      <c r="D8" s="10" t="inlineStr">
        <is>
          <t>绿</t>
        </is>
      </c>
      <c r="E8" s="8" t="inlineStr">
        <is>
          <t>通用</t>
        </is>
      </c>
      <c r="F8" s="8" t="inlineStr">
        <is>
          <t>回复</t>
        </is>
      </c>
      <c r="G8" s="8" t="inlineStr">
        <is>
          <t>击杀回10HP/层</t>
        </is>
      </c>
      <c r="H8" s="8" t="inlineStr"/>
    </row>
    <row r="9">
      <c r="A9" s="6" t="inlineStr">
        <is>
          <t>early_leave</t>
        </is>
      </c>
      <c r="B9" s="6" t="inlineStr">
        <is>
          <t>提前下班</t>
        </is>
      </c>
      <c r="C9" s="6" t="n">
        <v>2</v>
      </c>
      <c r="D9" s="11" t="inlineStr">
        <is>
          <t>蓝</t>
        </is>
      </c>
      <c r="E9" s="6" t="inlineStr">
        <is>
          <t>通用</t>
        </is>
      </c>
      <c r="F9" s="6" t="inlineStr">
        <is>
          <t>位移</t>
        </is>
      </c>
      <c r="G9" s="6" t="inlineStr">
        <is>
          <t>解锁Shift冲刺+冲刺后+40%射速</t>
        </is>
      </c>
      <c r="H9" s="6" t="inlineStr"/>
    </row>
    <row r="10">
      <c r="A10" s="8" t="inlineStr">
        <is>
          <t>side_hustle</t>
        </is>
      </c>
      <c r="B10" s="8" t="inlineStr">
        <is>
          <t>副业变现</t>
        </is>
      </c>
      <c r="C10" s="8" t="n">
        <v>1</v>
      </c>
      <c r="D10" s="11" t="inlineStr">
        <is>
          <t>蓝</t>
        </is>
      </c>
      <c r="E10" s="8" t="inlineStr">
        <is>
          <t>通用</t>
        </is>
      </c>
      <c r="F10" s="8" t="inlineStr">
        <is>
          <t>资源</t>
        </is>
      </c>
      <c r="G10" s="8" t="inlineStr">
        <is>
          <t>击杀30%概率掉消耗品</t>
        </is>
      </c>
      <c r="H10" s="8" t="inlineStr"/>
    </row>
    <row r="11">
      <c r="A11" s="6" t="inlineStr">
        <is>
          <t>juanwang</t>
        </is>
      </c>
      <c r="B11" s="6" t="inlineStr">
        <is>
          <t>卷王之王</t>
        </is>
      </c>
      <c r="C11" s="6" t="n">
        <v>3</v>
      </c>
      <c r="D11" s="9" t="inlineStr">
        <is>
          <t>白</t>
        </is>
      </c>
      <c r="E11" s="6" t="inlineStr">
        <is>
          <t>通用</t>
        </is>
      </c>
      <c r="F11" s="6" t="inlineStr">
        <is>
          <t>伤害</t>
        </is>
      </c>
      <c r="G11" s="6" t="inlineStr">
        <is>
          <t>子弹伤害 +20%/层</t>
        </is>
      </c>
      <c r="H11" s="6" t="inlineStr"/>
    </row>
    <row r="12">
      <c r="A12" s="8" t="inlineStr">
        <is>
          <t>quit_threat</t>
        </is>
      </c>
      <c r="B12" s="8" t="inlineStr">
        <is>
          <t>离职威胁</t>
        </is>
      </c>
      <c r="C12" s="8" t="n">
        <v>1</v>
      </c>
      <c r="D12" s="10" t="inlineStr">
        <is>
          <t>绿</t>
        </is>
      </c>
      <c r="E12" s="8" t="inlineStr">
        <is>
          <t>通用</t>
        </is>
      </c>
      <c r="F12" s="8" t="inlineStr">
        <is>
          <t>低血</t>
        </is>
      </c>
      <c r="G12" s="8" t="inlineStr">
        <is>
          <t>HP&lt;30%时移速+30%</t>
        </is>
      </c>
      <c r="H12" s="8" t="inlineStr"/>
    </row>
    <row r="13">
      <c r="A13" s="6" t="inlineStr">
        <is>
          <t>n_plus_one</t>
        </is>
      </c>
      <c r="B13" s="6" t="inlineStr">
        <is>
          <t>N+1谈判专家</t>
        </is>
      </c>
      <c r="C13" s="6" t="n">
        <v>1</v>
      </c>
      <c r="D13" s="12" t="inlineStr">
        <is>
          <t>紫</t>
        </is>
      </c>
      <c r="E13" s="6" t="inlineStr">
        <is>
          <t>通用</t>
        </is>
      </c>
      <c r="F13" s="6" t="inlineStr">
        <is>
          <t>免死</t>
        </is>
      </c>
      <c r="G13" s="6" t="inlineStr">
        <is>
          <t>死亡原地复活50%HP(一次)</t>
        </is>
      </c>
      <c r="H13" s="6" t="inlineStr"/>
    </row>
    <row r="14">
      <c r="A14" s="8" t="inlineStr">
        <is>
          <t>weekly_report</t>
        </is>
      </c>
      <c r="B14" s="8" t="inlineStr">
        <is>
          <t>周报生成器</t>
        </is>
      </c>
      <c r="C14" s="8" t="n">
        <v>2</v>
      </c>
      <c r="D14" s="9" t="inlineStr">
        <is>
          <t>白</t>
        </is>
      </c>
      <c r="E14" s="8" t="inlineStr">
        <is>
          <t>通用</t>
        </is>
      </c>
      <c r="F14" s="8" t="inlineStr">
        <is>
          <t>经验</t>
        </is>
      </c>
      <c r="G14" s="8" t="inlineStr">
        <is>
          <t>每秒+1经验/层</t>
        </is>
      </c>
      <c r="H14" s="8" t="inlineStr"/>
    </row>
    <row r="15">
      <c r="A15" s="6" t="inlineStr">
        <is>
          <t>desk_fengshui</t>
        </is>
      </c>
      <c r="B15" s="6" t="inlineStr">
        <is>
          <t>工位风水学</t>
        </is>
      </c>
      <c r="C15" s="6" t="n">
        <v>2</v>
      </c>
      <c r="D15" s="9" t="inlineStr">
        <is>
          <t>白</t>
        </is>
      </c>
      <c r="E15" s="6" t="inlineStr">
        <is>
          <t>通用</t>
        </is>
      </c>
      <c r="F15" s="6" t="inlineStr">
        <is>
          <t>生命</t>
        </is>
      </c>
      <c r="G15" s="6" t="inlineStr">
        <is>
          <t>最大HP+30/层</t>
        </is>
      </c>
      <c r="H15" s="6" t="inlineStr"/>
    </row>
    <row r="16">
      <c r="A16" s="8" t="inlineStr">
        <is>
          <t>invisible_worker</t>
        </is>
      </c>
      <c r="B16" s="8" t="inlineStr">
        <is>
          <t>办公室小透明</t>
        </is>
      </c>
      <c r="C16" s="8" t="n">
        <v>1</v>
      </c>
      <c r="D16" s="11" t="inlineStr">
        <is>
          <t>蓝</t>
        </is>
      </c>
      <c r="E16" s="8" t="inlineStr">
        <is>
          <t>通用</t>
        </is>
      </c>
      <c r="F16" s="8" t="inlineStr">
        <is>
          <t>仇恨</t>
        </is>
      </c>
      <c r="G16" s="8" t="inlineStr">
        <is>
          <t>敌人索敌范围-30%</t>
        </is>
      </c>
      <c r="H16" s="8" t="inlineStr"/>
    </row>
    <row r="17">
      <c r="A17" s="6" t="inlineStr">
        <is>
          <t>blame_master</t>
        </is>
      </c>
      <c r="B17" s="6" t="inlineStr">
        <is>
          <t>甩锅大师</t>
        </is>
      </c>
      <c r="C17" s="6" t="n">
        <v>2</v>
      </c>
      <c r="D17" s="11" t="inlineStr">
        <is>
          <t>蓝</t>
        </is>
      </c>
      <c r="E17" s="6" t="inlineStr">
        <is>
          <t>通用</t>
        </is>
      </c>
      <c r="F17" s="6" t="inlineStr">
        <is>
          <t>闪避</t>
        </is>
      </c>
      <c r="G17" s="6" t="inlineStr">
        <is>
          <t>20%概率完全闪避/层</t>
        </is>
      </c>
      <c r="H17" s="6" t="inlineStr"/>
    </row>
    <row r="18">
      <c r="A18" s="8" t="inlineStr">
        <is>
          <t>instant_reply</t>
        </is>
      </c>
      <c r="B18" s="8" t="inlineStr">
        <is>
          <t>已读秒回</t>
        </is>
      </c>
      <c r="C18" s="8" t="n">
        <v>2</v>
      </c>
      <c r="D18" s="10" t="inlineStr">
        <is>
          <t>绿</t>
        </is>
      </c>
      <c r="E18" s="8" t="inlineStr">
        <is>
          <t>通用</t>
        </is>
      </c>
      <c r="F18" s="8" t="inlineStr">
        <is>
          <t>弹速</t>
        </is>
      </c>
      <c r="G18" s="8" t="inlineStr">
        <is>
          <t>弹速+30%/层</t>
        </is>
      </c>
      <c r="H18" s="8" t="inlineStr">
        <is>
          <t>部分武器不适用</t>
        </is>
      </c>
    </row>
    <row r="19">
      <c r="A19" s="6" t="inlineStr">
        <is>
          <t>company_wool</t>
        </is>
      </c>
      <c r="B19" s="6" t="inlineStr">
        <is>
          <t>薅公司羊毛</t>
        </is>
      </c>
      <c r="C19" s="6" t="n">
        <v>1</v>
      </c>
      <c r="D19" s="11" t="inlineStr">
        <is>
          <t>蓝</t>
        </is>
      </c>
      <c r="E19" s="6" t="inlineStr">
        <is>
          <t>通用</t>
        </is>
      </c>
      <c r="F19" s="6" t="inlineStr">
        <is>
          <t>资源</t>
        </is>
      </c>
      <c r="G19" s="6" t="inlineStr">
        <is>
          <t>消耗品效果+50%</t>
        </is>
      </c>
      <c r="H19" s="6" t="inlineStr"/>
    </row>
    <row r="20">
      <c r="A20" s="8" t="inlineStr">
        <is>
          <t>skip_report</t>
        </is>
      </c>
      <c r="B20" s="8" t="inlineStr">
        <is>
          <t>越级汇报</t>
        </is>
      </c>
      <c r="C20" s="8" t="n">
        <v>2</v>
      </c>
      <c r="D20" s="10" t="inlineStr">
        <is>
          <t>绿</t>
        </is>
      </c>
      <c r="E20" s="8" t="inlineStr">
        <is>
          <t>通用</t>
        </is>
      </c>
      <c r="F20" s="8" t="inlineStr">
        <is>
          <t>穿透</t>
        </is>
      </c>
      <c r="G20" s="8" t="inlineStr">
        <is>
          <t>穿透+1/层</t>
        </is>
      </c>
      <c r="H20" s="8" t="inlineStr">
        <is>
          <t>部分武器不适用</t>
        </is>
      </c>
    </row>
    <row r="21">
      <c r="A21" s="6" t="inlineStr">
        <is>
          <t>toxic_aura</t>
        </is>
      </c>
      <c r="B21" s="6" t="inlineStr">
        <is>
          <t>职场毒瘤</t>
        </is>
      </c>
      <c r="C21" s="6" t="n">
        <v>3</v>
      </c>
      <c r="D21" s="11" t="inlineStr">
        <is>
          <t>蓝</t>
        </is>
      </c>
      <c r="E21" s="6" t="inlineStr">
        <is>
          <t>通用</t>
        </is>
      </c>
      <c r="F21" s="6" t="inlineStr">
        <is>
          <t>AoE</t>
        </is>
      </c>
      <c r="G21" s="6" t="inlineStr">
        <is>
          <t>身边100px每秒-2HP/层</t>
        </is>
      </c>
      <c r="H21" s="6" t="inlineStr"/>
    </row>
    <row r="22">
      <c r="A22" s="8" t="inlineStr">
        <is>
          <t>office_politics</t>
        </is>
      </c>
      <c r="B22" s="8" t="inlineStr">
        <is>
          <t>办公室政治</t>
        </is>
      </c>
      <c r="C22" s="8" t="n">
        <v>5</v>
      </c>
      <c r="D22" s="9" t="inlineStr">
        <is>
          <t>白</t>
        </is>
      </c>
      <c r="E22" s="8" t="inlineStr">
        <is>
          <t>optimizer</t>
        </is>
      </c>
      <c r="F22" s="8" t="inlineStr">
        <is>
          <t>溅射</t>
        </is>
      </c>
      <c r="G22" s="8" t="inlineStr">
        <is>
          <t>命中12%/层挂内耗，1.5s溅射30%</t>
        </is>
      </c>
      <c r="H22" s="8" t="inlineStr"/>
    </row>
    <row r="23">
      <c r="A23" s="6" t="inlineStr">
        <is>
          <t>meeting_wait</t>
        </is>
      </c>
      <c r="B23" s="6" t="inlineStr">
        <is>
          <t>3秒发言等待区</t>
        </is>
      </c>
      <c r="C23" s="6" t="n">
        <v>5</v>
      </c>
      <c r="D23" s="9" t="inlineStr">
        <is>
          <t>白</t>
        </is>
      </c>
      <c r="E23" s="6" t="inlineStr">
        <is>
          <t>optimizer</t>
        </is>
      </c>
      <c r="F23" s="6" t="inlineStr">
        <is>
          <t>减速</t>
        </is>
      </c>
      <c r="G23" s="6" t="inlineStr">
        <is>
          <t>减速强度+8%/层</t>
        </is>
      </c>
      <c r="H23" s="6" t="inlineStr"/>
    </row>
    <row r="24">
      <c r="A24" s="8" t="inlineStr">
        <is>
          <t>recycle_cooldown</t>
        </is>
      </c>
      <c r="B24" s="8" t="inlineStr">
        <is>
          <t>回收站冷静期</t>
        </is>
      </c>
      <c r="C24" s="8" t="n">
        <v>3</v>
      </c>
      <c r="D24" s="10" t="inlineStr">
        <is>
          <t>绿</t>
        </is>
      </c>
      <c r="E24" s="8" t="inlineStr">
        <is>
          <t>optimizer</t>
        </is>
      </c>
      <c r="F24" s="8" t="inlineStr">
        <is>
          <t>控场</t>
        </is>
      </c>
      <c r="G24" s="8" t="inlineStr">
        <is>
          <t>眩晕后目标2s内受伤+15%/层</t>
        </is>
      </c>
      <c r="H24" s="8" t="inlineStr"/>
    </row>
    <row r="25">
      <c r="A25" s="6" t="inlineStr">
        <is>
          <t>guilt_by_association</t>
        </is>
      </c>
      <c r="B25" s="6" t="inlineStr">
        <is>
          <t>连坐制度</t>
        </is>
      </c>
      <c r="C25" s="6" t="n">
        <v>3</v>
      </c>
      <c r="D25" s="10" t="inlineStr">
        <is>
          <t>绿</t>
        </is>
      </c>
      <c r="E25" s="6" t="inlineStr">
        <is>
          <t>optimizer</t>
        </is>
      </c>
      <c r="F25" s="6" t="inlineStr">
        <is>
          <t>传染</t>
        </is>
      </c>
      <c r="G25" s="6" t="inlineStr">
        <is>
          <t>眩晕25%/层概率传染</t>
        </is>
      </c>
      <c r="H25" s="6" t="inlineStr"/>
    </row>
    <row r="26">
      <c r="A26" s="8" t="inlineStr">
        <is>
          <t>kpi_countdown</t>
        </is>
      </c>
      <c r="B26" s="8" t="inlineStr">
        <is>
          <t>季度考核倒计时</t>
        </is>
      </c>
      <c r="C26" s="8" t="n">
        <v>3</v>
      </c>
      <c r="D26" s="11" t="inlineStr">
        <is>
          <t>蓝</t>
        </is>
      </c>
      <c r="E26" s="8" t="inlineStr">
        <is>
          <t>optimizer</t>
        </is>
      </c>
      <c r="F26" s="8" t="inlineStr">
        <is>
          <t>正反馈</t>
        </is>
      </c>
      <c r="G26" s="8" t="inlineStr">
        <is>
          <t>每受控敌人+2%全属性/层</t>
        </is>
      </c>
      <c r="H26" s="8" t="inlineStr">
        <is>
          <t>20层上限</t>
        </is>
      </c>
    </row>
    <row r="27">
      <c r="A27" s="6" t="inlineStr">
        <is>
          <t>circuit_breaker</t>
        </is>
      </c>
      <c r="B27" s="6" t="inlineStr">
        <is>
          <t>熔断机制</t>
        </is>
      </c>
      <c r="C27" s="6" t="n">
        <v>1</v>
      </c>
      <c r="D27" s="11" t="inlineStr">
        <is>
          <t>蓝</t>
        </is>
      </c>
      <c r="E27" s="6" t="inlineStr">
        <is>
          <t>optimizer</t>
        </is>
      </c>
      <c r="F27" s="6" t="inlineStr">
        <is>
          <t>独特</t>
        </is>
      </c>
      <c r="G27" s="6" t="inlineStr">
        <is>
          <t>受重击触发全屏1.2s眩晕+0.6s免疫</t>
        </is>
      </c>
      <c r="H27" s="6" t="inlineStr">
        <is>
          <t>20s CD</t>
        </is>
      </c>
    </row>
    <row r="28">
      <c r="A28" s="8" t="inlineStr">
        <is>
          <t>blame_reflect</t>
        </is>
      </c>
      <c r="B28" s="8" t="inlineStr">
        <is>
          <t>甩锅式反伤</t>
        </is>
      </c>
      <c r="C28" s="8" t="n">
        <v>1</v>
      </c>
      <c r="D28" s="12" t="inlineStr">
        <is>
          <t>紫</t>
        </is>
      </c>
      <c r="E28" s="8" t="inlineStr">
        <is>
          <t>optimizer</t>
        </is>
      </c>
      <c r="F28" s="8" t="inlineStr">
        <is>
          <t>质变</t>
        </is>
      </c>
      <c r="G28" s="8" t="inlineStr">
        <is>
          <t>40%概率完全转移伤害给受控敌人</t>
        </is>
      </c>
      <c r="H28" s="8" t="inlineStr">
        <is>
          <t>觉醒→80%</t>
        </is>
      </c>
    </row>
    <row r="29">
      <c r="A29" s="6" t="inlineStr">
        <is>
          <t>bottom_elimination</t>
        </is>
      </c>
      <c r="B29" s="6" t="inlineStr">
        <is>
          <t>末位淘汰制</t>
        </is>
      </c>
      <c r="C29" s="6" t="n">
        <v>1</v>
      </c>
      <c r="D29" s="12" t="inlineStr">
        <is>
          <t>紫</t>
        </is>
      </c>
      <c r="E29" s="6" t="inlineStr">
        <is>
          <t>optimizer</t>
        </is>
      </c>
      <c r="F29" s="6" t="inlineStr">
        <is>
          <t>质变</t>
        </is>
      </c>
      <c r="G29" s="6" t="inlineStr">
        <is>
          <t>8s一次约谈最低HP敌人，定身2s爆炸</t>
        </is>
      </c>
      <c r="H29" s="6" t="inlineStr">
        <is>
          <t>v18 cap 250</t>
        </is>
      </c>
    </row>
    <row r="30">
      <c r="A30" s="8" t="inlineStr">
        <is>
          <t>assembly_nuke</t>
        </is>
      </c>
      <c r="B30" s="8" t="inlineStr">
        <is>
          <t>全员大会核爆</t>
        </is>
      </c>
      <c r="C30" s="8" t="n">
        <v>1</v>
      </c>
      <c r="D30" s="13" t="inlineStr">
        <is>
          <t>橙</t>
        </is>
      </c>
      <c r="E30" s="8" t="inlineStr">
        <is>
          <t>optimizer</t>
        </is>
      </c>
      <c r="F30" s="8" t="inlineStr">
        <is>
          <t>大招</t>
        </is>
      </c>
      <c r="G30" s="8" t="inlineStr">
        <is>
          <t>30积分触发全屏350%攻击</t>
        </is>
      </c>
      <c r="H30" s="8" t="inlineStr">
        <is>
          <t>Boss上限300</t>
        </is>
      </c>
    </row>
    <row r="31">
      <c r="A31" s="6" t="inlineStr">
        <is>
          <t>mouse_jiggler</t>
        </is>
      </c>
      <c r="B31" s="6" t="inlineStr">
        <is>
          <t>鼠标晃动器</t>
        </is>
      </c>
      <c r="C31" s="6" t="n">
        <v>5</v>
      </c>
      <c r="D31" s="9" t="inlineStr">
        <is>
          <t>白</t>
        </is>
      </c>
      <c r="E31" s="6" t="inlineStr">
        <is>
          <t>slacker</t>
        </is>
      </c>
      <c r="F31" s="6" t="inlineStr">
        <is>
          <t>移速</t>
        </is>
      </c>
      <c r="G31" s="6" t="inlineStr">
        <is>
          <t>移速+10%/层</t>
        </is>
      </c>
      <c r="H31" s="6" t="inlineStr"/>
    </row>
    <row r="32">
      <c r="A32" s="8" t="inlineStr">
        <is>
          <t>online_response</t>
        </is>
      </c>
      <c r="B32" s="8" t="inlineStr">
        <is>
          <t>线上响应术</t>
        </is>
      </c>
      <c r="C32" s="8" t="n">
        <v>5</v>
      </c>
      <c r="D32" s="9" t="inlineStr">
        <is>
          <t>白</t>
        </is>
      </c>
      <c r="E32" s="8" t="inlineStr">
        <is>
          <t>slacker</t>
        </is>
      </c>
      <c r="F32" s="8" t="inlineStr">
        <is>
          <t>减伤</t>
        </is>
      </c>
      <c r="G32" s="8" t="inlineStr">
        <is>
          <t>连续移动2s后受伤-15%/层</t>
        </is>
      </c>
      <c r="H32" s="8" t="inlineStr"/>
    </row>
    <row r="33">
      <c r="A33" s="6" t="inlineStr">
        <is>
          <t>fake_busy</t>
        </is>
      </c>
      <c r="B33" s="6" t="inlineStr">
        <is>
          <t>假装忙碌</t>
        </is>
      </c>
      <c r="C33" s="6" t="n">
        <v>3</v>
      </c>
      <c r="D33" s="10" t="inlineStr">
        <is>
          <t>绿</t>
        </is>
      </c>
      <c r="E33" s="6" t="inlineStr">
        <is>
          <t>slacker</t>
        </is>
      </c>
      <c r="F33" s="6" t="inlineStr">
        <is>
          <t>触发</t>
        </is>
      </c>
      <c r="G33" s="6" t="inlineStr">
        <is>
          <t>闲置1.5s触发提速20%</t>
        </is>
      </c>
      <c r="H33" s="6" t="inlineStr"/>
    </row>
    <row r="34">
      <c r="A34" s="8" t="inlineStr">
        <is>
          <t>read_no_reply_school</t>
        </is>
      </c>
      <c r="B34" s="8" t="inlineStr">
        <is>
          <t>已读不回学</t>
        </is>
      </c>
      <c r="C34" s="8" t="n">
        <v>3</v>
      </c>
      <c r="D34" s="10" t="inlineStr">
        <is>
          <t>绿</t>
        </is>
      </c>
      <c r="E34" s="8" t="inlineStr">
        <is>
          <t>slacker</t>
        </is>
      </c>
      <c r="F34" s="8" t="inlineStr">
        <is>
          <t>闪避</t>
        </is>
      </c>
      <c r="G34" s="8" t="inlineStr">
        <is>
          <t>闪避成功后移速+12%/层 1s</t>
        </is>
      </c>
      <c r="H34" s="8" t="inlineStr"/>
    </row>
    <row r="35">
      <c r="A35" s="6" t="inlineStr">
        <is>
          <t>uptime_cert</t>
        </is>
      </c>
      <c r="B35" s="6" t="inlineStr">
        <is>
          <t>在线时长认证</t>
        </is>
      </c>
      <c r="C35" s="6" t="n">
        <v>3</v>
      </c>
      <c r="D35" s="11" t="inlineStr">
        <is>
          <t>蓝</t>
        </is>
      </c>
      <c r="E35" s="6" t="inlineStr">
        <is>
          <t>slacker</t>
        </is>
      </c>
      <c r="F35" s="6" t="inlineStr">
        <is>
          <t>正反馈</t>
        </is>
      </c>
      <c r="G35" s="6" t="inlineStr">
        <is>
          <t>连续不被命中每5s一层活跃认证</t>
        </is>
      </c>
      <c r="H35" s="6" t="inlineStr">
        <is>
          <t>上限5</t>
        </is>
      </c>
    </row>
    <row r="36">
      <c r="A36" s="8" t="inlineStr">
        <is>
          <t>never_offline</t>
        </is>
      </c>
      <c r="B36" s="8" t="inlineStr">
        <is>
          <t>永不下线</t>
        </is>
      </c>
      <c r="C36" s="8" t="n">
        <v>1</v>
      </c>
      <c r="D36" s="11" t="inlineStr">
        <is>
          <t>蓝</t>
        </is>
      </c>
      <c r="E36" s="8" t="inlineStr">
        <is>
          <t>slacker</t>
        </is>
      </c>
      <c r="F36" s="8" t="inlineStr">
        <is>
          <t>独特</t>
        </is>
      </c>
      <c r="G36" s="8" t="inlineStr">
        <is>
          <t>闪避+18%(上限90%)最大HP-15</t>
        </is>
      </c>
      <c r="H36" s="8" t="inlineStr">
        <is>
          <t>双刃剑</t>
        </is>
      </c>
    </row>
    <row r="37">
      <c r="A37" s="6" t="inlineStr">
        <is>
          <t>fake_diligence</t>
        </is>
      </c>
      <c r="B37" s="6" t="inlineStr">
        <is>
          <t>假勤奋，真怠工</t>
        </is>
      </c>
      <c r="C37" s="6" t="n">
        <v>1</v>
      </c>
      <c r="D37" s="12" t="inlineStr">
        <is>
          <t>紫</t>
        </is>
      </c>
      <c r="E37" s="6" t="inlineStr">
        <is>
          <t>slacker</t>
        </is>
      </c>
      <c r="F37" s="6" t="inlineStr">
        <is>
          <t>质变</t>
        </is>
      </c>
      <c r="G37" s="6" t="inlineStr">
        <is>
          <t>不受伤8s触发全屏(v18 池上限wpnDmg×8)</t>
        </is>
      </c>
      <c r="H37" s="6" t="inlineStr"/>
    </row>
    <row r="38">
      <c r="A38" s="8" t="inlineStr">
        <is>
          <t>perpetual_slack</t>
        </is>
      </c>
      <c r="B38" s="8" t="inlineStr">
        <is>
          <t>永动摸鱼引擎</t>
        </is>
      </c>
      <c r="C38" s="8" t="n">
        <v>1</v>
      </c>
      <c r="D38" s="13" t="inlineStr">
        <is>
          <t>橙</t>
        </is>
      </c>
      <c r="E38" s="8" t="inlineStr">
        <is>
          <t>slacker</t>
        </is>
      </c>
      <c r="F38" s="8" t="inlineStr">
        <is>
          <t>大招</t>
        </is>
      </c>
      <c r="G38" s="8" t="inlineStr">
        <is>
          <t>移800px触发2s免疫+10s冷却</t>
        </is>
      </c>
      <c r="H38" s="8" t="inlineStr">
        <is>
          <t>v18 大幅收紧</t>
        </is>
      </c>
    </row>
    <row r="39">
      <c r="A39" s="6" t="inlineStr">
        <is>
          <t>proc_fire_enchant</t>
        </is>
      </c>
      <c r="B39" s="6" t="inlineStr">
        <is>
          <t>火焰附魔·数据泄漏</t>
        </is>
      </c>
      <c r="C39" s="6" t="n">
        <v>3</v>
      </c>
      <c r="D39" s="11" t="inlineStr">
        <is>
          <t>蓝</t>
        </is>
      </c>
      <c r="E39" s="6" t="inlineStr">
        <is>
          <t>通用</t>
        </is>
      </c>
      <c r="F39" s="6" t="inlineStr">
        <is>
          <t>proc</t>
        </is>
      </c>
      <c r="G39" s="6" t="inlineStr">
        <is>
          <t>onHit 20%/层 燃烧4dps×2s</t>
        </is>
      </c>
      <c r="H39" s="6" t="inlineStr">
        <is>
          <t>v18</t>
        </is>
      </c>
    </row>
    <row r="40">
      <c r="A40" s="8" t="inlineStr">
        <is>
          <t>proc_ice_enchant</t>
        </is>
      </c>
      <c r="B40" s="8" t="inlineStr">
        <is>
          <t>冰霜附魔·系统卡顿</t>
        </is>
      </c>
      <c r="C40" s="8" t="n">
        <v>3</v>
      </c>
      <c r="D40" s="11" t="inlineStr">
        <is>
          <t>蓝</t>
        </is>
      </c>
      <c r="E40" s="8" t="inlineStr">
        <is>
          <t>通用</t>
        </is>
      </c>
      <c r="F40" s="8" t="inlineStr">
        <is>
          <t>proc</t>
        </is>
      </c>
      <c r="G40" s="8" t="inlineStr">
        <is>
          <t>onHit 25%/层 减速40%×1.5s</t>
        </is>
      </c>
      <c r="H40" s="8" t="inlineStr">
        <is>
          <t>v18</t>
        </is>
      </c>
    </row>
    <row r="41">
      <c r="A41" s="6" t="inlineStr">
        <is>
          <t>proc_lightning_enchant</t>
        </is>
      </c>
      <c r="B41" s="6" t="inlineStr">
        <is>
          <t>雷电附魔·断电通知</t>
        </is>
      </c>
      <c r="C41" s="6" t="n">
        <v>3</v>
      </c>
      <c r="D41" s="11" t="inlineStr">
        <is>
          <t>蓝</t>
        </is>
      </c>
      <c r="E41" s="6" t="inlineStr">
        <is>
          <t>通用</t>
        </is>
      </c>
      <c r="F41" s="6" t="inlineStr">
        <is>
          <t>proc</t>
        </is>
      </c>
      <c r="G41" s="6" t="inlineStr">
        <is>
          <t>onCrit 40%/层 链电3目标每链5</t>
        </is>
      </c>
      <c r="H41" s="6" t="inlineStr">
        <is>
          <t>v18</t>
        </is>
      </c>
    </row>
    <row r="42">
      <c r="A42" s="8" t="inlineStr">
        <is>
          <t>proc_poison_enchant</t>
        </is>
      </c>
      <c r="B42" s="8" t="inlineStr">
        <is>
          <t>毒液附魔·PUA后遗症</t>
        </is>
      </c>
      <c r="C42" s="8" t="n">
        <v>3</v>
      </c>
      <c r="D42" s="11" t="inlineStr">
        <is>
          <t>蓝</t>
        </is>
      </c>
      <c r="E42" s="8" t="inlineStr">
        <is>
          <t>通用</t>
        </is>
      </c>
      <c r="F42" s="8" t="inlineStr">
        <is>
          <t>proc</t>
        </is>
      </c>
      <c r="G42" s="8" t="inlineStr">
        <is>
          <t>onHit 30%/层 中毒2dps×3s</t>
        </is>
      </c>
      <c r="H42" s="8" t="inlineStr">
        <is>
          <t>v18</t>
        </is>
      </c>
    </row>
    <row r="43">
      <c r="A43" s="6" t="inlineStr">
        <is>
          <t>proc_lifesteal</t>
        </is>
      </c>
      <c r="B43" s="6" t="inlineStr">
        <is>
          <t>吸血附魔·画饼实体化</t>
        </is>
      </c>
      <c r="C43" s="6" t="n">
        <v>3</v>
      </c>
      <c r="D43" s="11" t="inlineStr">
        <is>
          <t>蓝</t>
        </is>
      </c>
      <c r="E43" s="6" t="inlineStr">
        <is>
          <t>通用</t>
        </is>
      </c>
      <c r="F43" s="6" t="inlineStr">
        <is>
          <t>proc</t>
        </is>
      </c>
      <c r="G43" s="6" t="inlineStr">
        <is>
          <t>onHit 50%/层 回2血</t>
        </is>
      </c>
      <c r="H43" s="6" t="inlineStr">
        <is>
          <t>v18</t>
        </is>
      </c>
    </row>
    <row r="44">
      <c r="A44" s="8" t="inlineStr">
        <is>
          <t>proc_killShield</t>
        </is>
      </c>
      <c r="B44" s="8" t="inlineStr">
        <is>
          <t>击杀护盾·连坐豁免</t>
        </is>
      </c>
      <c r="C44" s="8" t="n">
        <v>2</v>
      </c>
      <c r="D44" s="10" t="inlineStr">
        <is>
          <t>绿</t>
        </is>
      </c>
      <c r="E44" s="8" t="inlineStr">
        <is>
          <t>通用</t>
        </is>
      </c>
      <c r="F44" s="8" t="inlineStr">
        <is>
          <t>proc</t>
        </is>
      </c>
      <c r="G44" s="8" t="inlineStr">
        <is>
          <t>onKill 60%/层 +5护盾</t>
        </is>
      </c>
      <c r="H44" s="8" t="inlineStr">
        <is>
          <t>v18</t>
        </is>
      </c>
    </row>
    <row r="45">
      <c r="A45" s="6" t="inlineStr">
        <is>
          <t>proc_blastKill</t>
        </is>
      </c>
      <c r="B45" s="6" t="inlineStr">
        <is>
          <t>连锁裁员·尸爆传染</t>
        </is>
      </c>
      <c r="C45" s="6" t="n">
        <v>2</v>
      </c>
      <c r="D45" s="12" t="inlineStr">
        <is>
          <t>紫</t>
        </is>
      </c>
      <c r="E45" s="6" t="inlineStr">
        <is>
          <t>通用</t>
        </is>
      </c>
      <c r="F45" s="6" t="inlineStr">
        <is>
          <t>proc</t>
        </is>
      </c>
      <c r="G45" s="6" t="inlineStr">
        <is>
          <t>onKill 40%/层 尸爆60px 15伤害</t>
        </is>
      </c>
      <c r="H45" s="6" t="inlineStr">
        <is>
          <t>v18</t>
        </is>
      </c>
    </row>
    <row r="46">
      <c r="A46" s="8" t="inlineStr">
        <is>
          <t>proc_thorns</t>
        </is>
      </c>
      <c r="B46" s="8" t="inlineStr">
        <is>
          <t>复仇圆环·法务函件</t>
        </is>
      </c>
      <c r="C46" s="8" t="n">
        <v>3</v>
      </c>
      <c r="D46" s="10" t="inlineStr">
        <is>
          <t>绿</t>
        </is>
      </c>
      <c r="E46" s="8" t="inlineStr">
        <is>
          <t>通用</t>
        </is>
      </c>
      <c r="F46" s="8" t="inlineStr">
        <is>
          <t>proc</t>
        </is>
      </c>
      <c r="G46" s="8" t="inlineStr">
        <is>
          <t>onHurt 100% 反弹30%/层</t>
        </is>
      </c>
      <c r="H46" s="8" t="inlineStr">
        <is>
          <t>v18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6" customWidth="1" min="3" max="3"/>
    <col width="12" customWidth="1" min="4" max="4"/>
    <col width="30" customWidth="1" min="5" max="5"/>
    <col width="20" customWidth="1" min="6" max="6"/>
    <col width="22" customWidth="1" min="7" max="7"/>
    <col width="22" customWidth="1" min="8" max="8"/>
  </cols>
  <sheetData>
    <row r="1" ht="32" customHeight="1">
      <c r="A1" s="5" t="inlineStr">
        <is>
          <t>ID</t>
        </is>
      </c>
      <c r="B1" s="5" t="inlineStr">
        <is>
          <t>名称</t>
        </is>
      </c>
      <c r="C1" s="5" t="inlineStr">
        <is>
          <t>max</t>
        </is>
      </c>
      <c r="D1" s="5" t="inlineStr">
        <is>
          <t>PLAYER_ONLY</t>
        </is>
      </c>
      <c r="E1" s="5" t="inlineStr">
        <is>
          <t>标准</t>
        </is>
      </c>
      <c r="F1" s="5" t="inlineStr">
        <is>
          <t>Pro</t>
        </is>
      </c>
      <c r="G1" s="5" t="inlineStr">
        <is>
          <t>Ultra</t>
        </is>
      </c>
      <c r="H1" s="5" t="inlineStr">
        <is>
          <t>备注</t>
        </is>
      </c>
    </row>
    <row r="2">
      <c r="A2" s="8" t="inlineStr">
        <is>
          <t>fewshot</t>
        </is>
      </c>
      <c r="B2" s="8" t="inlineStr">
        <is>
          <t>少样本提示</t>
        </is>
      </c>
      <c r="C2" s="8" t="n">
        <v>2</v>
      </c>
      <c r="D2" s="8" t="inlineStr">
        <is>
          <t>是</t>
        </is>
      </c>
      <c r="E2" s="8" t="inlineStr">
        <is>
          <t>multishot+1;echoMult 0.4+0.5×(1-1/(1+m))</t>
        </is>
      </c>
      <c r="F2" s="8" t="inlineStr">
        <is>
          <t>同左</t>
        </is>
      </c>
      <c r="G2" s="8" t="inlineStr">
        <is>
          <t>同左</t>
        </is>
      </c>
      <c r="H2" s="8" t="inlineStr">
        <is>
          <t>v18 fix：软上限</t>
        </is>
      </c>
    </row>
    <row r="3">
      <c r="A3" s="6" t="inlineStr">
        <is>
          <t>cot</t>
        </is>
      </c>
      <c r="B3" s="6" t="inlineStr">
        <is>
          <t>思维链</t>
        </is>
      </c>
      <c r="C3" s="6" t="n">
        <v>2</v>
      </c>
      <c r="D3" s="6" t="inlineStr">
        <is>
          <t>否</t>
        </is>
      </c>
      <c r="E3" s="6" t="inlineStr">
        <is>
          <t>pierce+1</t>
        </is>
      </c>
      <c r="F3" s="6" t="inlineStr">
        <is>
          <t>pierce+1</t>
        </is>
      </c>
      <c r="G3" s="6" t="inlineStr">
        <is>
          <t>pierce+2</t>
        </is>
      </c>
      <c r="H3" s="6" t="inlineStr"/>
    </row>
    <row r="4">
      <c r="A4" s="8" t="inlineStr">
        <is>
          <t>temp</t>
        </is>
      </c>
      <c r="B4" s="8" t="inlineStr">
        <is>
          <t>温度调高</t>
        </is>
      </c>
      <c r="C4" s="8" t="n">
        <v>3</v>
      </c>
      <c r="D4" s="8" t="inlineStr">
        <is>
          <t>是</t>
        </is>
      </c>
      <c r="E4" s="8" t="inlineStr">
        <is>
          <t>crit+10%</t>
        </is>
      </c>
      <c r="F4" s="8" t="inlineStr">
        <is>
          <t>+14%</t>
        </is>
      </c>
      <c r="G4" s="8" t="inlineStr">
        <is>
          <t>+19%</t>
        </is>
      </c>
      <c r="H4" s="8" t="inlineStr"/>
    </row>
    <row r="5">
      <c r="A5" s="6" t="inlineStr">
        <is>
          <t>quant</t>
        </is>
      </c>
      <c r="B5" s="6" t="inlineStr">
        <is>
          <t>INT4量化</t>
        </is>
      </c>
      <c r="C5" s="6" t="n">
        <v>2</v>
      </c>
      <c r="D5" s="6" t="inlineStr">
        <is>
          <t>否</t>
        </is>
      </c>
      <c r="E5" s="6" t="inlineStr">
        <is>
          <t>fireRate/bulletSpd×1.10</t>
        </is>
      </c>
      <c r="F5" s="6" t="inlineStr">
        <is>
          <t>×1.15</t>
        </is>
      </c>
      <c r="G5" s="6" t="inlineStr">
        <is>
          <t>×1.22</t>
        </is>
      </c>
      <c r="H5" s="6" t="inlineStr"/>
    </row>
    <row r="6">
      <c r="A6" s="8" t="inlineStr">
        <is>
          <t>attention</t>
        </is>
      </c>
      <c r="B6" s="8" t="inlineStr">
        <is>
          <t>注意力机制</t>
        </is>
      </c>
      <c r="C6" s="8" t="n">
        <v>2</v>
      </c>
      <c r="D6" s="8" t="inlineStr">
        <is>
          <t>是</t>
        </is>
      </c>
      <c r="E6" s="8" t="inlineStr">
        <is>
          <t>homing+0.8</t>
        </is>
      </c>
      <c r="F6" s="8" t="inlineStr">
        <is>
          <t>+1.1</t>
        </is>
      </c>
      <c r="G6" s="8" t="inlineStr">
        <is>
          <t>+1.5</t>
        </is>
      </c>
      <c r="H6" s="8" t="inlineStr"/>
    </row>
    <row r="7">
      <c r="A7" s="6" t="inlineStr">
        <is>
          <t>kvcache</t>
        </is>
      </c>
      <c r="B7" s="6" t="inlineStr">
        <is>
          <t>KV缓存</t>
        </is>
      </c>
      <c r="C7" s="6" t="n">
        <v>2</v>
      </c>
      <c r="D7" s="6" t="inlineStr">
        <is>
          <t>否</t>
        </is>
      </c>
      <c r="E7" s="6" t="inlineStr">
        <is>
          <t>fireRate×1.08</t>
        </is>
      </c>
      <c r="F7" s="6" t="inlineStr">
        <is>
          <t>×1.12</t>
        </is>
      </c>
      <c r="G7" s="6" t="inlineStr">
        <is>
          <t>×1.18</t>
        </is>
      </c>
      <c r="H7" s="6" t="inlineStr"/>
    </row>
    <row r="8">
      <c r="A8" s="8" t="inlineStr">
        <is>
          <t>finetune</t>
        </is>
      </c>
      <c r="B8" s="8" t="inlineStr">
        <is>
          <t>私有微调</t>
        </is>
      </c>
      <c r="C8" s="8" t="n">
        <v>2</v>
      </c>
      <c r="D8" s="8" t="inlineStr">
        <is>
          <t>否</t>
        </is>
      </c>
      <c r="E8" s="8" t="inlineStr">
        <is>
          <t>dmg/fireRate×1.05 移速×1.03</t>
        </is>
      </c>
      <c r="F8" s="8" t="inlineStr">
        <is>
          <t>×1.08/1.05</t>
        </is>
      </c>
      <c r="G8" s="8" t="inlineStr">
        <is>
          <t>×1.12/1.08</t>
        </is>
      </c>
      <c r="H8" s="8" t="inlineStr"/>
    </row>
    <row r="9">
      <c r="A9" s="6" t="inlineStr">
        <is>
          <t>ctxwin</t>
        </is>
      </c>
      <c r="B9" s="6" t="inlineStr">
        <is>
          <t>上下文扩容</t>
        </is>
      </c>
      <c r="C9" s="6" t="n">
        <v>2</v>
      </c>
      <c r="D9" s="6" t="inlineStr">
        <is>
          <t>否</t>
        </is>
      </c>
      <c r="E9" s="6" t="inlineStr">
        <is>
          <t>range×1.18</t>
        </is>
      </c>
      <c r="F9" s="6" t="inlineStr">
        <is>
          <t>×1.25</t>
        </is>
      </c>
      <c r="G9" s="6" t="inlineStr">
        <is>
          <t>×1.35</t>
        </is>
      </c>
      <c r="H9" s="6" t="inlineStr"/>
    </row>
    <row r="10">
      <c r="A10" s="8" t="inlineStr">
        <is>
          <t>sysprompt</t>
        </is>
      </c>
      <c r="B10" s="8" t="inlineStr">
        <is>
          <t>系统提示</t>
        </is>
      </c>
      <c r="C10" s="8" t="n">
        <v>1</v>
      </c>
      <c r="D10" s="8" t="inlineStr">
        <is>
          <t>否</t>
        </is>
      </c>
      <c r="E10" s="8" t="inlineStr">
        <is>
          <t>10护盾</t>
        </is>
      </c>
      <c r="F10" s="8" t="inlineStr">
        <is>
          <t>15</t>
        </is>
      </c>
      <c r="G10" s="8" t="inlineStr">
        <is>
          <t>22</t>
        </is>
      </c>
      <c r="H10" s="8" t="inlineStr">
        <is>
          <t>每45s补盾</t>
        </is>
      </c>
    </row>
    <row r="11">
      <c r="A11" s="6" t="inlineStr">
        <is>
          <t>rag</t>
        </is>
      </c>
      <c r="B11" s="6" t="inlineStr">
        <is>
          <t>检索增强 RAG</t>
        </is>
      </c>
      <c r="C11" s="6" t="n">
        <v>2</v>
      </c>
      <c r="D11" s="6" t="inlineStr">
        <is>
          <t>否</t>
        </is>
      </c>
      <c r="E11" s="6" t="inlineStr">
        <is>
          <t>rag+1</t>
        </is>
      </c>
      <c r="F11" s="6" t="inlineStr">
        <is>
          <t>+0.15伤害</t>
        </is>
      </c>
      <c r="G11" s="6" t="inlineStr">
        <is>
          <t>+0.35伤害</t>
        </is>
      </c>
      <c r="H11" s="6" t="inlineStr"/>
    </row>
    <row r="12">
      <c r="A12" s="8" t="inlineStr">
        <is>
          <t>inject</t>
        </is>
      </c>
      <c r="B12" s="8" t="inlineStr">
        <is>
          <t>提示注入</t>
        </is>
      </c>
      <c r="C12" s="8" t="n">
        <v>99</v>
      </c>
      <c r="D12" s="8" t="inlineStr">
        <is>
          <t>否</t>
        </is>
      </c>
      <c r="E12" s="8" t="inlineStr">
        <is>
          <t>策反12s</t>
        </is>
      </c>
      <c r="F12" s="8" t="inlineStr">
        <is>
          <t>20s</t>
        </is>
      </c>
      <c r="G12" s="8" t="inlineStr">
        <is>
          <t>30s</t>
        </is>
      </c>
      <c r="H12" s="8" t="inlineStr">
        <is>
          <t>instant</t>
        </is>
      </c>
    </row>
    <row r="13">
      <c r="A13" s="6" t="inlineStr">
        <is>
          <t>clear</t>
        </is>
      </c>
      <c r="B13" s="6" t="inlineStr">
        <is>
          <t>/clear清空上下文</t>
        </is>
      </c>
      <c r="C13" s="6" t="n">
        <v>99</v>
      </c>
      <c r="D13" s="6" t="inlineStr">
        <is>
          <t>否</t>
        </is>
      </c>
      <c r="E13" s="6" t="inlineStr">
        <is>
          <t>r=70 dmg=22</t>
        </is>
      </c>
      <c r="F13" s="6" t="inlineStr">
        <is>
          <t>r=95 dmg=30</t>
        </is>
      </c>
      <c r="G13" s="6" t="inlineStr">
        <is>
          <t>r=125 dmg=42</t>
        </is>
      </c>
      <c r="H13" s="6" t="inlineStr">
        <is>
          <t>instant</t>
        </is>
      </c>
    </row>
    <row r="14">
      <c r="A14" s="8" t="inlineStr">
        <is>
          <t>distill</t>
        </is>
      </c>
      <c r="B14" s="8" t="inlineStr">
        <is>
          <t>大模型蒸馏</t>
        </is>
      </c>
      <c r="C14" s="8" t="n">
        <v>99</v>
      </c>
      <c r="D14" s="8" t="inlineStr">
        <is>
          <t>是</t>
        </is>
      </c>
      <c r="E14" s="8" t="inlineStr">
        <is>
          <t>随机蒸馏一个 Boss 技能</t>
        </is>
      </c>
      <c r="F14" s="8" t="inlineStr"/>
      <c r="G14" s="8" t="inlineStr"/>
      <c r="H14" s="8" t="inlineStr">
        <is>
          <t>instant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6" customWidth="1" min="4" max="4"/>
    <col width="40" customWidth="1" min="5" max="5"/>
  </cols>
  <sheetData>
    <row r="1" ht="32" customHeight="1">
      <c r="A1" s="5" t="inlineStr">
        <is>
          <t>ID</t>
        </is>
      </c>
      <c r="B1" s="5" t="inlineStr">
        <is>
          <t>名称</t>
        </is>
      </c>
      <c r="C1" s="5" t="inlineStr">
        <is>
          <t>cd(s)</t>
        </is>
      </c>
      <c r="D1" s="5" t="inlineStr">
        <is>
          <t>源</t>
        </is>
      </c>
      <c r="E1" s="5" t="inlineStr">
        <is>
          <t>效果</t>
        </is>
      </c>
    </row>
    <row r="2">
      <c r="A2" s="8" t="inlineStr">
        <is>
          <t>ppt</t>
        </is>
      </c>
      <c r="B2" s="8" t="inlineStr">
        <is>
          <t>全屏演示·mini</t>
        </is>
      </c>
      <c r="C2" s="8" t="n">
        <v>10</v>
      </c>
      <c r="D2" s="8" t="inlineStr">
        <is>
          <t>PPT 大师</t>
        </is>
      </c>
      <c r="E2" s="8" t="inlineStr">
        <is>
          <t>向准星光锥，高伤害+眩晕</t>
        </is>
      </c>
    </row>
    <row r="3">
      <c r="A3" s="6" t="inlineStr">
        <is>
          <t>snitch</t>
        </is>
      </c>
      <c r="B3" s="6" t="inlineStr">
        <is>
          <t>打小报告·mini</t>
        </is>
      </c>
      <c r="C3" s="6" t="n">
        <v>14</v>
      </c>
      <c r="D3" s="6" t="inlineStr">
        <is>
          <t>小报告专家</t>
        </is>
      </c>
      <c r="E3" s="6" t="inlineStr">
        <is>
          <t>举报最近敌人，全场围殴</t>
        </is>
      </c>
    </row>
    <row r="4">
      <c r="A4" s="8" t="inlineStr">
        <is>
          <t>pie</t>
        </is>
      </c>
      <c r="B4" s="8" t="inlineStr">
        <is>
          <t>画大饼·mini</t>
        </is>
      </c>
      <c r="C4" s="8" t="n">
        <v>8</v>
      </c>
      <c r="D4" s="8" t="inlineStr">
        <is>
          <t>老板</t>
        </is>
      </c>
      <c r="E4" s="8" t="inlineStr">
        <is>
          <t>甩出 6 张小饼</t>
        </is>
      </c>
    </row>
    <row r="5">
      <c r="A5" s="6" t="inlineStr">
        <is>
          <t>upman</t>
        </is>
      </c>
      <c r="B5" s="6" t="inlineStr">
        <is>
          <t>向上管理·mini</t>
        </is>
      </c>
      <c r="C5" s="6" t="n">
        <v>10</v>
      </c>
      <c r="D5" s="6" t="inlineStr">
        <is>
          <t>向上管理大师</t>
        </is>
      </c>
      <c r="E5" s="6" t="inlineStr">
        <is>
          <t>自赋能3s+25%伤害+15%移速+回6血</t>
        </is>
      </c>
    </row>
    <row r="6">
      <c r="A6" s="8" t="inlineStr">
        <is>
          <t>align</t>
        </is>
      </c>
      <c r="B6" s="8" t="inlineStr">
        <is>
          <t>对齐立场·mini</t>
        </is>
      </c>
      <c r="C6" s="8" t="n"/>
      <c r="D6" s="8" t="inlineStr">
        <is>
          <t>对齐守卫</t>
        </is>
      </c>
      <c r="E6" s="8" t="inlineStr">
        <is>
          <t>25%概率挡下正面子弹</t>
        </is>
      </c>
    </row>
    <row r="7">
      <c r="A7" s="6" t="inlineStr">
        <is>
          <t>pua</t>
        </is>
      </c>
      <c r="B7" s="6" t="inlineStr">
        <is>
          <t>PUA冲击·mini</t>
        </is>
      </c>
      <c r="C7" s="6" t="n">
        <v>9</v>
      </c>
      <c r="D7" s="6" t="inlineStr">
        <is>
          <t>老板</t>
        </is>
      </c>
      <c r="E7" s="6" t="inlineStr">
        <is>
          <t>震开身边+小伤害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8" customWidth="1" min="4" max="4"/>
  </cols>
  <sheetData>
    <row r="1" ht="32" customHeight="1">
      <c r="A1" s="5" t="inlineStr">
        <is>
          <t>ID</t>
        </is>
      </c>
      <c r="B1" s="5" t="inlineStr">
        <is>
          <t>名称</t>
        </is>
      </c>
      <c r="C1" s="5" t="inlineStr">
        <is>
          <t>效果</t>
        </is>
      </c>
      <c r="D1" s="5" t="inlineStr">
        <is>
          <t>可否施加于敌</t>
        </is>
      </c>
    </row>
    <row r="2">
      <c r="A2" s="8" t="inlineStr">
        <is>
          <t>hallu</t>
        </is>
      </c>
      <c r="B2" s="8" t="inlineStr">
        <is>
          <t>幻觉</t>
        </is>
      </c>
      <c r="C2" s="8" t="inlineStr">
        <is>
          <t>准星漂移，看啥都不真</t>
        </is>
      </c>
      <c r="D2" s="8" t="inlineStr">
        <is>
          <t>否</t>
        </is>
      </c>
    </row>
    <row r="3">
      <c r="A3" s="6" t="inlineStr">
        <is>
          <t>overfit</t>
        </is>
      </c>
      <c r="B3" s="6" t="inlineStr">
        <is>
          <t>过拟合</t>
        </is>
      </c>
      <c r="C3" s="6" t="inlineStr">
        <is>
          <t>移速大减、禁冲刺</t>
        </is>
      </c>
      <c r="D3" s="6" t="inlineStr">
        <is>
          <t>否</t>
        </is>
      </c>
    </row>
    <row r="4">
      <c r="A4" s="8" t="inlineStr">
        <is>
          <t>repeat</t>
        </is>
      </c>
      <c r="B4" s="8" t="inlineStr">
        <is>
          <t>复读机</t>
        </is>
      </c>
      <c r="C4" s="8" t="inlineStr">
        <is>
          <t>弹道锁死方向</t>
        </is>
      </c>
      <c r="D4" s="8" t="inlineStr">
        <is>
          <t>否</t>
        </is>
      </c>
    </row>
    <row r="5">
      <c r="A5" s="6" t="inlineStr">
        <is>
          <t>overflow</t>
        </is>
      </c>
      <c r="B5" s="6" t="inlineStr">
        <is>
          <t>上下文溢出</t>
        </is>
      </c>
      <c r="C5" s="6" t="inlineStr">
        <is>
          <t>射速大减</t>
        </is>
      </c>
      <c r="D5" s="6" t="inlineStr">
        <is>
          <t>否</t>
        </is>
      </c>
    </row>
  </sheetData>
  <conditionalFormatting sqref="D2:D5">
    <cfRule type="cellIs" priority="1" operator="equal" dxfId="0">
      <formula>"否"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6" customWidth="1" min="4" max="4"/>
    <col width="8" customWidth="1" min="5" max="5"/>
    <col width="16" customWidth="1" min="6" max="6"/>
    <col width="20" customWidth="1" min="7" max="7"/>
    <col width="16" customWidth="1" min="8" max="8"/>
  </cols>
  <sheetData>
    <row r="1" ht="32" customHeight="1">
      <c r="A1" s="5" t="inlineStr">
        <is>
          <t>效果</t>
        </is>
      </c>
      <c r="B1" s="5" t="inlineStr">
        <is>
          <t>hook</t>
        </is>
      </c>
      <c r="C1" s="5" t="inlineStr">
        <is>
          <t>来源技能</t>
        </is>
      </c>
      <c r="D1" s="5" t="inlineStr">
        <is>
          <t>基础触发率(每层)</t>
        </is>
      </c>
      <c r="E1" s="5" t="inlineStr">
        <is>
          <t>max 层</t>
        </is>
      </c>
      <c r="F1" s="5" t="inlineStr">
        <is>
          <t>满级总触发率</t>
        </is>
      </c>
      <c r="G1" s="5" t="inlineStr">
        <is>
          <t>效果参数</t>
        </is>
      </c>
      <c r="H1" s="5" t="inlineStr">
        <is>
          <t>备注</t>
        </is>
      </c>
    </row>
    <row r="2">
      <c r="A2" s="8" t="inlineStr">
        <is>
          <t>burn</t>
        </is>
      </c>
      <c r="B2" s="8" t="inlineStr">
        <is>
          <t>onHit</t>
        </is>
      </c>
      <c r="C2" s="8" t="inlineStr">
        <is>
          <t>火焰附魔·数据泄漏</t>
        </is>
      </c>
      <c r="D2" s="8" t="n">
        <v>0.2</v>
      </c>
      <c r="E2" s="8" t="n">
        <v>3</v>
      </c>
      <c r="F2" s="14">
        <f>1 - (1-D2)^E2</f>
        <v/>
      </c>
      <c r="G2" s="8" t="inlineStr">
        <is>
          <t>4 dps × 2s</t>
        </is>
      </c>
      <c r="H2" s="8" t="inlineStr"/>
    </row>
    <row r="3">
      <c r="A3" s="6" t="inlineStr">
        <is>
          <t>chill</t>
        </is>
      </c>
      <c r="B3" s="6" t="inlineStr">
        <is>
          <t>onHit</t>
        </is>
      </c>
      <c r="C3" s="6" t="inlineStr">
        <is>
          <t>冰霜附魔·系统卡顿</t>
        </is>
      </c>
      <c r="D3" s="6" t="n">
        <v>0.25</v>
      </c>
      <c r="E3" s="6" t="n">
        <v>3</v>
      </c>
      <c r="F3" s="15">
        <f>1 - (1-D3)^E3</f>
        <v/>
      </c>
      <c r="G3" s="6" t="inlineStr">
        <is>
          <t>减速40% × 1.5s</t>
        </is>
      </c>
      <c r="H3" s="6" t="inlineStr"/>
    </row>
    <row r="4">
      <c r="A4" s="8" t="inlineStr">
        <is>
          <t>shock</t>
        </is>
      </c>
      <c r="B4" s="8" t="inlineStr">
        <is>
          <t>onCrit</t>
        </is>
      </c>
      <c r="C4" s="8" t="inlineStr">
        <is>
          <t>雷电附魔·断电通知</t>
        </is>
      </c>
      <c r="D4" s="8" t="n">
        <v>0.4</v>
      </c>
      <c r="E4" s="8" t="n">
        <v>3</v>
      </c>
      <c r="F4" s="14">
        <f>1 - (1-D4)^E4</f>
        <v/>
      </c>
      <c r="G4" s="8" t="inlineStr">
        <is>
          <t>链电3目标每链5</t>
        </is>
      </c>
      <c r="H4" s="8" t="inlineStr">
        <is>
          <t>需暴击</t>
        </is>
      </c>
    </row>
    <row r="5">
      <c r="A5" s="6" t="inlineStr">
        <is>
          <t>poison</t>
        </is>
      </c>
      <c r="B5" s="6" t="inlineStr">
        <is>
          <t>onHit</t>
        </is>
      </c>
      <c r="C5" s="6" t="inlineStr">
        <is>
          <t>毒液附魔·PUA后遗症</t>
        </is>
      </c>
      <c r="D5" s="6" t="n">
        <v>0.3</v>
      </c>
      <c r="E5" s="6" t="n">
        <v>3</v>
      </c>
      <c r="F5" s="15">
        <f>1 - (1-D5)^E5</f>
        <v/>
      </c>
      <c r="G5" s="6" t="inlineStr">
        <is>
          <t>2 dps × 3s</t>
        </is>
      </c>
      <c r="H5" s="6" t="inlineStr"/>
    </row>
    <row r="6">
      <c r="A6" s="8" t="inlineStr">
        <is>
          <t>heal</t>
        </is>
      </c>
      <c r="B6" s="8" t="inlineStr">
        <is>
          <t>onHit</t>
        </is>
      </c>
      <c r="C6" s="8" t="inlineStr">
        <is>
          <t>吸血附魔·画饼实体化</t>
        </is>
      </c>
      <c r="D6" s="8" t="n">
        <v>0.5</v>
      </c>
      <c r="E6" s="8" t="n">
        <v>3</v>
      </c>
      <c r="F6" s="14">
        <f>1 - (1-D6)^E6</f>
        <v/>
      </c>
      <c r="G6" s="8" t="inlineStr">
        <is>
          <t>回2血</t>
        </is>
      </c>
      <c r="H6" s="8" t="inlineStr"/>
    </row>
    <row r="7">
      <c r="A7" s="6" t="inlineStr">
        <is>
          <t>shield</t>
        </is>
      </c>
      <c r="B7" s="6" t="inlineStr">
        <is>
          <t>onKill</t>
        </is>
      </c>
      <c r="C7" s="6" t="inlineStr">
        <is>
          <t>击杀护盾·连坐豁免</t>
        </is>
      </c>
      <c r="D7" s="6" t="n">
        <v>0.6</v>
      </c>
      <c r="E7" s="6" t="n">
        <v>2</v>
      </c>
      <c r="F7" s="15">
        <f>1 - (1-D7)^E7</f>
        <v/>
      </c>
      <c r="G7" s="6" t="inlineStr">
        <is>
          <t>+5 护盾</t>
        </is>
      </c>
      <c r="H7" s="6" t="inlineStr"/>
    </row>
    <row r="8">
      <c r="A8" s="8" t="inlineStr">
        <is>
          <t>blastKill</t>
        </is>
      </c>
      <c r="B8" s="8" t="inlineStr">
        <is>
          <t>onKill</t>
        </is>
      </c>
      <c r="C8" s="8" t="inlineStr">
        <is>
          <t>连锁裁员·尸爆传染</t>
        </is>
      </c>
      <c r="D8" s="8" t="n">
        <v>0.4</v>
      </c>
      <c r="E8" s="8" t="n">
        <v>2</v>
      </c>
      <c r="F8" s="14">
        <f>1 - (1-D8)^E8</f>
        <v/>
      </c>
      <c r="G8" s="8" t="inlineStr">
        <is>
          <t>15 伤害 60px</t>
        </is>
      </c>
      <c r="H8" s="8" t="inlineStr"/>
    </row>
    <row r="9">
      <c r="A9" s="6" t="inlineStr">
        <is>
          <t>thornsHurt</t>
        </is>
      </c>
      <c r="B9" s="6" t="inlineStr">
        <is>
          <t>onHurt</t>
        </is>
      </c>
      <c r="C9" s="6" t="inlineStr">
        <is>
          <t>复仇圆环·法务函件</t>
        </is>
      </c>
      <c r="D9" s="6" t="n">
        <v>1</v>
      </c>
      <c r="E9" s="6" t="n">
        <v>3</v>
      </c>
      <c r="F9" s="15">
        <f>1 - (1-D9)^E9</f>
        <v/>
      </c>
      <c r="G9" s="6" t="inlineStr">
        <is>
          <t>反弹 30%/层</t>
        </is>
      </c>
      <c r="H9" s="6" t="inlineStr">
        <is>
          <t>100% 触发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2" customWidth="1" min="3" max="3"/>
    <col width="16" customWidth="1" min="4" max="4"/>
  </cols>
  <sheetData>
    <row r="1" ht="32" customHeight="1">
      <c r="A1" s="5" t="inlineStr">
        <is>
          <t>ID</t>
        </is>
      </c>
      <c r="B1" s="5" t="inlineStr">
        <is>
          <t>名称</t>
        </is>
      </c>
      <c r="C1" s="5" t="inlineStr">
        <is>
          <t>效果</t>
        </is>
      </c>
      <c r="D1" s="5" t="inlineStr">
        <is>
          <t>备注</t>
        </is>
      </c>
    </row>
    <row r="2">
      <c r="A2" s="8" t="inlineStr">
        <is>
          <t>iced_americano</t>
        </is>
      </c>
      <c r="B2" s="8" t="inlineStr">
        <is>
          <t>冰美式续命水</t>
        </is>
      </c>
      <c r="C2" s="8" t="inlineStr">
        <is>
          <t>回复 30 HP</t>
        </is>
      </c>
      <c r="D2" s="8" t="inlineStr"/>
    </row>
    <row r="3">
      <c r="A3" s="6" t="inlineStr">
        <is>
          <t>overtime_redbull</t>
        </is>
      </c>
      <c r="B3" s="6" t="inlineStr">
        <is>
          <t>加班红牛</t>
        </is>
      </c>
      <c r="C3" s="6" t="inlineStr">
        <is>
          <t>5秒 移速 +50%</t>
        </is>
      </c>
      <c r="D3" s="6" t="inlineStr"/>
    </row>
    <row r="4">
      <c r="A4" s="8" t="inlineStr">
        <is>
          <t>stock_option</t>
        </is>
      </c>
      <c r="B4" s="8" t="inlineStr">
        <is>
          <t>期权空头支票</t>
        </is>
      </c>
      <c r="C4" s="8" t="inlineStr">
        <is>
          <t>+50 经验</t>
        </is>
      </c>
      <c r="D4" s="8" t="inlineStr"/>
    </row>
    <row r="5">
      <c r="A5" s="6" t="inlineStr">
        <is>
          <t>n1_package</t>
        </is>
      </c>
      <c r="B5" s="6" t="inlineStr">
        <is>
          <t>N+1大礼包</t>
        </is>
      </c>
      <c r="C5" s="6" t="inlineStr">
        <is>
          <t>30 护盾(10s)</t>
        </is>
      </c>
      <c r="D5" s="6" t="inlineStr"/>
    </row>
    <row r="6">
      <c r="A6" s="8" t="inlineStr">
        <is>
          <t>teambuild_milktea</t>
        </is>
      </c>
      <c r="B6" s="8" t="inlineStr">
        <is>
          <t>团建奶茶</t>
        </is>
      </c>
      <c r="C6" s="8" t="inlineStr">
        <is>
          <t>8s 射速 +30%</t>
        </is>
      </c>
      <c r="D6" s="8" t="inlineStr"/>
    </row>
    <row r="7">
      <c r="A7" s="6" t="inlineStr">
        <is>
          <t>boss_pie</t>
        </is>
      </c>
      <c r="B7" s="6" t="inlineStr">
        <is>
          <t>老板画的饼</t>
        </is>
      </c>
      <c r="C7" s="6" t="inlineStr">
        <is>
          <t>50% 回25HP / 50% 啥没有</t>
        </is>
      </c>
      <c r="D7" s="6" t="inlineStr"/>
    </row>
    <row r="8">
      <c r="A8" s="8" t="inlineStr">
        <is>
          <t>double_quota</t>
        </is>
      </c>
      <c r="B8" s="8" t="inlineStr">
        <is>
          <t>双倍配额卡</t>
        </is>
      </c>
      <c r="C8" s="8" t="inlineStr">
        <is>
          <t>6s 射速×1.5</t>
        </is>
      </c>
      <c r="D8" s="8" t="inlineStr">
        <is>
          <t>v18 修正</t>
        </is>
      </c>
    </row>
    <row r="9">
      <c r="A9" s="6" t="inlineStr">
        <is>
          <t>reset_card</t>
        </is>
      </c>
      <c r="B9" s="6" t="inlineStr">
        <is>
          <t>重置卡</t>
        </is>
      </c>
      <c r="C9" s="6" t="inlineStr">
        <is>
          <t>全部冷却清零</t>
        </is>
      </c>
      <c r="D9" s="6" t="inlineStr"/>
    </row>
    <row r="10">
      <c r="A10" s="8" t="inlineStr">
        <is>
          <t>n2_package</t>
        </is>
      </c>
      <c r="B10" s="8" t="inlineStr">
        <is>
          <t>2N 大礼包</t>
        </is>
      </c>
      <c r="C10" s="8" t="inlineStr">
        <is>
          <t>60 护盾(12s)+回20HP</t>
        </is>
      </c>
      <c r="D10" s="8" t="inlineStr"/>
    </row>
    <row r="11">
      <c r="A11" s="6" t="inlineStr">
        <is>
          <t>resume_refresh</t>
        </is>
      </c>
      <c r="B11" s="6" t="inlineStr">
        <is>
          <t>简历刷新卡</t>
        </is>
      </c>
      <c r="C11" s="6" t="inlineStr">
        <is>
          <t>+1 三选一免费重抽</t>
        </is>
      </c>
      <c r="D11" s="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22" customWidth="1" min="4" max="4"/>
    <col width="18" customWidth="1" min="5" max="5"/>
    <col width="40" customWidth="1" min="6" max="6"/>
  </cols>
  <sheetData>
    <row r="1" ht="32" customHeight="1">
      <c r="A1" s="5" t="inlineStr">
        <is>
          <t>ID</t>
        </is>
      </c>
      <c r="B1" s="5" t="inlineStr">
        <is>
          <t>名称</t>
        </is>
      </c>
      <c r="C1" s="5" t="inlineStr">
        <is>
          <t>persona</t>
        </is>
      </c>
      <c r="D1" s="5" t="inlineStr">
        <is>
          <t>前置技能</t>
        </is>
      </c>
      <c r="E1" s="5" t="inlineStr">
        <is>
          <t>前置搭档</t>
        </is>
      </c>
      <c r="F1" s="5" t="inlineStr">
        <is>
          <t>效果</t>
        </is>
      </c>
    </row>
    <row r="2">
      <c r="A2" s="8" t="inlineStr">
        <is>
          <t>evo_blame_furnace</t>
        </is>
      </c>
      <c r="B2" s="8" t="inlineStr">
        <is>
          <t>无限连坐熔炉</t>
        </is>
      </c>
      <c r="C2" s="8" t="inlineStr">
        <is>
          <t>optimizer</t>
        </is>
      </c>
      <c r="D2" s="8" t="inlineStr">
        <is>
          <t>甩锅式反伤(紫满级)</t>
        </is>
      </c>
      <c r="E2" s="8" t="inlineStr">
        <is>
          <t>熔断机制(蓝满级)</t>
        </is>
      </c>
      <c r="F2" s="8" t="inlineStr">
        <is>
          <t>转移概率 40%→80%</t>
        </is>
      </c>
    </row>
    <row r="3">
      <c r="A3" s="6" t="inlineStr">
        <is>
          <t>evo_dismissal_committee</t>
        </is>
      </c>
      <c r="B3" s="6" t="inlineStr">
        <is>
          <t>永续裁员委员会</t>
        </is>
      </c>
      <c r="C3" s="6" t="inlineStr">
        <is>
          <t>optimizer</t>
        </is>
      </c>
      <c r="D3" s="6" t="inlineStr">
        <is>
          <t>末位淘汰制(紫满级)</t>
        </is>
      </c>
      <c r="E3" s="6" t="inlineStr">
        <is>
          <t>花名册连坐</t>
        </is>
      </c>
      <c r="F3" s="6" t="inlineStr">
        <is>
          <t>连坐锁链全场+15%移速+10%伤害</t>
        </is>
      </c>
    </row>
    <row r="4">
      <c r="A4" s="8" t="inlineStr">
        <is>
          <t>evo_online_offline</t>
        </is>
      </c>
      <c r="B4" s="8" t="inlineStr">
        <is>
          <t>在线但心已离职</t>
        </is>
      </c>
      <c r="C4" s="8" t="inlineStr">
        <is>
          <t>slacker</t>
        </is>
      </c>
      <c r="D4" s="8" t="inlineStr">
        <is>
          <t>永动摸鱼引擎(橙满级)</t>
        </is>
      </c>
      <c r="E4" s="8" t="inlineStr">
        <is>
          <t>临时下线</t>
        </is>
      </c>
      <c r="F4" s="8" t="inlineStr">
        <is>
          <t>高铁摸鱼期命中叠永久+1%攻击，上限15层</t>
        </is>
      </c>
    </row>
    <row r="5">
      <c r="A5" s="6" t="inlineStr">
        <is>
          <t>evo_pretend_not_seen</t>
        </is>
      </c>
      <c r="B5" s="6" t="inlineStr">
        <is>
          <t>被优化了但我假装没看见</t>
        </is>
      </c>
      <c r="C5" s="6" t="inlineStr">
        <is>
          <t>slacker</t>
        </is>
      </c>
      <c r="D5" s="6" t="inlineStr">
        <is>
          <t>假勤奋真怠工(紫满级)</t>
        </is>
      </c>
      <c r="E5" s="6" t="inlineStr">
        <is>
          <t>在线状态徽章</t>
        </is>
      </c>
      <c r="F5" s="6" t="inlineStr">
        <is>
          <t>触发8s→5s + 2s内35%忽视伤害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32" customWidth="1" min="8" max="8"/>
  </cols>
  <sheetData>
    <row r="1" ht="32" customHeight="1">
      <c r="A1" s="5" t="inlineStr">
        <is>
          <t>ID</t>
        </is>
      </c>
      <c r="B1" s="5" t="inlineStr">
        <is>
          <t>名称</t>
        </is>
      </c>
      <c r="C1" s="5" t="inlineStr">
        <is>
          <t>tier</t>
        </is>
      </c>
      <c r="D1" s="5" t="inlineStr">
        <is>
          <t>HP</t>
        </is>
      </c>
      <c r="E1" s="5" t="inlineStr">
        <is>
          <t>移速</t>
        </is>
      </c>
      <c r="F1" s="5" t="inlineStr">
        <is>
          <t>触碰</t>
        </is>
      </c>
      <c r="G1" s="5" t="inlineStr">
        <is>
          <t>等级</t>
        </is>
      </c>
      <c r="H1" s="5" t="inlineStr">
        <is>
          <t>特殊</t>
        </is>
      </c>
    </row>
    <row r="2">
      <c r="A2" s="8" t="inlineStr">
        <is>
          <t>hallu</t>
        </is>
      </c>
      <c r="B2" s="8" t="inlineStr">
        <is>
          <t>幻觉体</t>
        </is>
      </c>
      <c r="C2" s="8" t="n">
        <v>1</v>
      </c>
      <c r="D2" s="8" t="n">
        <v>45</v>
      </c>
      <c r="E2" s="8" t="n">
        <v>185</v>
      </c>
      <c r="F2" s="8" t="n">
        <v>6</v>
      </c>
      <c r="G2" s="8" t="n">
        <v>3</v>
      </c>
      <c r="H2" s="8" t="inlineStr">
        <is>
          <t>触碰施幻觉6s</t>
        </is>
      </c>
    </row>
    <row r="3">
      <c r="A3" s="6" t="inlineStr">
        <is>
          <t>overfit</t>
        </is>
      </c>
      <c r="B3" s="6" t="inlineStr">
        <is>
          <t>过拟合壮汉</t>
        </is>
      </c>
      <c r="C3" s="6" t="n">
        <v>1</v>
      </c>
      <c r="D3" s="6" t="n">
        <v>320</v>
      </c>
      <c r="E3" s="6" t="n">
        <v>52</v>
      </c>
      <c r="F3" s="6" t="n">
        <v>18</v>
      </c>
      <c r="G3" s="6" t="n">
        <v>5</v>
      </c>
      <c r="H3" s="6" t="inlineStr">
        <is>
          <t>触碰施过拟合7s</t>
        </is>
      </c>
    </row>
    <row r="4">
      <c r="A4" s="8" t="inlineStr">
        <is>
          <t>injector</t>
        </is>
      </c>
      <c r="B4" s="8" t="inlineStr">
        <is>
          <t>提示注入者</t>
        </is>
      </c>
      <c r="C4" s="8" t="n">
        <v>1</v>
      </c>
      <c r="D4" s="8" t="n">
        <v>70</v>
      </c>
      <c r="E4" s="8" t="n">
        <v>115</v>
      </c>
      <c r="F4" s="8" t="n">
        <v>0</v>
      </c>
      <c r="G4" s="8" t="n">
        <v>4</v>
      </c>
      <c r="H4" s="8" t="inlineStr">
        <is>
          <t>远程复读机/溢出弹</t>
        </is>
      </c>
    </row>
    <row r="5">
      <c r="A5" s="6" t="inlineStr">
        <is>
          <t>align</t>
        </is>
      </c>
      <c r="B5" s="6" t="inlineStr">
        <is>
          <t>对齐守卫</t>
        </is>
      </c>
      <c r="C5" s="6" t="n">
        <v>1</v>
      </c>
      <c r="D5" s="6" t="n">
        <v>160</v>
      </c>
      <c r="E5" s="6" t="n">
        <v>78</v>
      </c>
      <c r="F5" s="6" t="n">
        <v>10</v>
      </c>
      <c r="G5" s="6" t="n">
        <v>4</v>
      </c>
      <c r="H5" s="6" t="inlineStr">
        <is>
          <t>正面免疫子弹</t>
        </is>
      </c>
    </row>
    <row r="6">
      <c r="A6" s="8" t="inlineStr">
        <is>
          <t>ppt</t>
        </is>
      </c>
      <c r="B6" s="8" t="inlineStr">
        <is>
          <t>PPT 大师</t>
        </is>
      </c>
      <c r="C6" s="8" t="n">
        <v>2</v>
      </c>
      <c r="D6" s="8" t="n">
        <v>260</v>
      </c>
      <c r="E6" s="8" t="n">
        <v>70</v>
      </c>
      <c r="F6" s="8" t="n">
        <v>0</v>
      </c>
      <c r="G6" s="8" t="n">
        <v>6</v>
      </c>
      <c r="H6" s="8" t="inlineStr">
        <is>
          <t>光锥+眩晕</t>
        </is>
      </c>
    </row>
    <row r="7">
      <c r="A7" s="6" t="inlineStr">
        <is>
          <t>upman</t>
        </is>
      </c>
      <c r="B7" s="6" t="inlineStr">
        <is>
          <t>向上管理大师</t>
        </is>
      </c>
      <c r="C7" s="6" t="n">
        <v>2</v>
      </c>
      <c r="D7" s="6" t="n">
        <v>220</v>
      </c>
      <c r="E7" s="6" t="n">
        <v>95</v>
      </c>
      <c r="F7" s="6" t="n">
        <v>0</v>
      </c>
      <c r="G7" s="6" t="n">
        <v>6</v>
      </c>
      <c r="H7" s="6" t="inlineStr">
        <is>
          <t>给周围光环+奶血</t>
        </is>
      </c>
    </row>
    <row r="8">
      <c r="A8" s="8" t="inlineStr">
        <is>
          <t>snitch</t>
        </is>
      </c>
      <c r="B8" s="8" t="inlineStr">
        <is>
          <t>小报告专家</t>
        </is>
      </c>
      <c r="C8" s="8" t="n">
        <v>2</v>
      </c>
      <c r="D8" s="8" t="n">
        <v>150</v>
      </c>
      <c r="E8" s="8" t="n">
        <v>125</v>
      </c>
      <c r="F8" s="8" t="n">
        <v>0</v>
      </c>
      <c r="G8" s="8" t="n">
        <v>5</v>
      </c>
      <c r="H8" s="8" t="inlineStr">
        <is>
          <t>举报被举报者被围殴</t>
        </is>
      </c>
    </row>
    <row r="9">
      <c r="A9" s="6" t="inlineStr">
        <is>
          <t>meeting</t>
        </is>
      </c>
      <c r="B9" s="6" t="inlineStr">
        <is>
          <t>会议发起人</t>
        </is>
      </c>
      <c r="C9" s="6" t="n">
        <v>2</v>
      </c>
      <c r="D9" s="6" t="n">
        <v>200</v>
      </c>
      <c r="E9" s="6" t="n">
        <v>85</v>
      </c>
      <c r="F9" s="6" t="n">
        <v>0</v>
      </c>
      <c r="G9" s="6" t="n">
        <v>5</v>
      </c>
      <c r="H9" s="6" t="inlineStr">
        <is>
          <t>日历圈减速掉血</t>
        </is>
      </c>
    </row>
    <row r="10">
      <c r="A10" s="8" t="inlineStr">
        <is>
          <t>intern</t>
        </is>
      </c>
      <c r="B10" s="8" t="inlineStr">
        <is>
          <t>卷王实习生</t>
        </is>
      </c>
      <c r="C10" s="8" t="n">
        <v>2</v>
      </c>
      <c r="D10" s="8" t="n">
        <v>180</v>
      </c>
      <c r="E10" s="8" t="n">
        <v>90</v>
      </c>
      <c r="F10" s="8" t="n">
        <v>12</v>
      </c>
      <c r="G10" s="8" t="n">
        <v>5</v>
      </c>
      <c r="H10" s="8" t="inlineStr">
        <is>
          <t>血低越猛</t>
        </is>
      </c>
    </row>
    <row r="11">
      <c r="A11" s="6" t="inlineStr">
        <is>
          <t>attendance</t>
        </is>
      </c>
      <c r="B11" s="6" t="inlineStr">
        <is>
          <t>考勤主管</t>
        </is>
      </c>
      <c r="C11" s="6" t="n">
        <v>2</v>
      </c>
      <c r="D11" s="6" t="n">
        <v>240</v>
      </c>
      <c r="E11" s="6" t="n">
        <v>75</v>
      </c>
      <c r="F11" s="6" t="n">
        <v>0</v>
      </c>
      <c r="G11" s="6" t="n">
        <v>6</v>
      </c>
      <c r="H11" s="6" t="inlineStr">
        <is>
          <t>黄圈预警高伤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" customWidth="1" min="3" max="3"/>
    <col width="8" customWidth="1" min="4" max="4"/>
    <col width="8" customWidth="1" min="5" max="5"/>
    <col width="6" customWidth="1" min="6" max="6"/>
    <col width="32" customWidth="1" min="7" max="7"/>
    <col width="12" customWidth="1" min="8" max="8"/>
  </cols>
  <sheetData>
    <row r="1" ht="32" customHeight="1">
      <c r="A1" s="5" t="inlineStr">
        <is>
          <t>ID</t>
        </is>
      </c>
      <c r="B1" s="5" t="inlineStr">
        <is>
          <t>名称</t>
        </is>
      </c>
      <c r="C1" s="5" t="inlineStr">
        <is>
          <t>HP</t>
        </is>
      </c>
      <c r="D1" s="5" t="inlineStr">
        <is>
          <t>移速</t>
        </is>
      </c>
      <c r="E1" s="5" t="inlineStr">
        <is>
          <t>触碰</t>
        </is>
      </c>
      <c r="F1" s="5" t="inlineStr">
        <is>
          <t>xp</t>
        </is>
      </c>
      <c r="G1" s="5" t="inlineStr">
        <is>
          <t>AI 品类</t>
        </is>
      </c>
      <c r="H1" s="5" t="inlineStr">
        <is>
          <t>月份</t>
        </is>
      </c>
    </row>
    <row r="2">
      <c r="A2" s="8" t="inlineStr">
        <is>
          <t>email</t>
        </is>
      </c>
      <c r="B2" s="8" t="inlineStr">
        <is>
          <t>未读邮件</t>
        </is>
      </c>
      <c r="C2" s="8" t="n">
        <v>11</v>
      </c>
      <c r="D2" s="8" t="n">
        <v>105</v>
      </c>
      <c r="E2" s="8" t="n">
        <v>2.5</v>
      </c>
      <c r="F2" s="8" t="n">
        <v>1.6</v>
      </c>
      <c r="G2" s="8" t="inlineStr">
        <is>
          <t>直线追击(5s升级)</t>
        </is>
      </c>
      <c r="H2" s="8" t="n">
        <v>1</v>
      </c>
    </row>
    <row r="3">
      <c r="A3" s="6" t="inlineStr">
        <is>
          <t>urgent_email</t>
        </is>
      </c>
      <c r="B3" s="6" t="inlineStr">
        <is>
          <t>加急邮件</t>
        </is>
      </c>
      <c r="C3" s="6" t="n">
        <v>13</v>
      </c>
      <c r="D3" s="6" t="n">
        <v>130</v>
      </c>
      <c r="E3" s="6" t="n">
        <v>3.7</v>
      </c>
      <c r="F3" s="6" t="n">
        <v>2</v>
      </c>
      <c r="G3" s="6" t="inlineStr">
        <is>
          <t>升级版直线追击</t>
        </is>
      </c>
      <c r="H3" s="6" t="inlineStr">
        <is>
          <t>email升级</t>
        </is>
      </c>
    </row>
    <row r="4">
      <c r="A4" s="8" t="inlineStr">
        <is>
          <t>sticky</t>
        </is>
      </c>
      <c r="B4" s="8" t="inlineStr">
        <is>
          <t>待办便利贴</t>
        </is>
      </c>
      <c r="C4" s="8" t="n">
        <v>20</v>
      </c>
      <c r="D4" s="8" t="n">
        <v>60</v>
      </c>
      <c r="E4" s="8" t="n">
        <v>4</v>
      </c>
      <c r="F4" s="8" t="n">
        <v>2.2</v>
      </c>
      <c r="G4" s="8" t="inlineStr">
        <is>
          <t>直线追击</t>
        </is>
      </c>
      <c r="H4" s="8" t="n">
        <v>2</v>
      </c>
    </row>
    <row r="5">
      <c r="A5" s="6" t="inlineStr">
        <is>
          <t>cr</t>
        </is>
      </c>
      <c r="B5" s="6" t="inlineStr">
        <is>
          <t>需求变更单</t>
        </is>
      </c>
      <c r="C5" s="6" t="n">
        <v>14</v>
      </c>
      <c r="D5" s="6" t="n">
        <v>95</v>
      </c>
      <c r="E5" s="6" t="n">
        <v>3</v>
      </c>
      <c r="F5" s="6" t="n">
        <v>1.6</v>
      </c>
      <c r="G5" s="6" t="inlineStr">
        <is>
          <t>抖动追击+死亡分裂</t>
        </is>
      </c>
      <c r="H5" s="6" t="n">
        <v>3</v>
      </c>
    </row>
    <row r="6">
      <c r="A6" s="8" t="inlineStr">
        <is>
          <t>cc_bomb</t>
        </is>
      </c>
      <c r="B6" s="8" t="inlineStr">
        <is>
          <t>抄送轰炸</t>
        </is>
      </c>
      <c r="C6" s="8" t="n">
        <v>8</v>
      </c>
      <c r="D6" s="8" t="n">
        <v>130</v>
      </c>
      <c r="E6" s="8" t="n">
        <v>2</v>
      </c>
      <c r="F6" s="8" t="n">
        <v>1.5</v>
      </c>
      <c r="G6" s="8" t="inlineStr">
        <is>
          <t>追击+3.5s发3追踪弹+死亡分裂</t>
        </is>
      </c>
      <c r="H6" s="8" t="n">
        <v>1</v>
      </c>
    </row>
    <row r="7">
      <c r="A7" s="6" t="inlineStr">
        <is>
          <t>read_reply</t>
        </is>
      </c>
      <c r="B7" s="6" t="inlineStr">
        <is>
          <t>已读不回</t>
        </is>
      </c>
      <c r="C7" s="6" t="n">
        <v>3</v>
      </c>
      <c r="D7" s="6" t="n">
        <v>160</v>
      </c>
      <c r="E7" s="6" t="n">
        <v>1.5</v>
      </c>
      <c r="F7" s="6" t="n">
        <v>1</v>
      </c>
      <c r="G7" s="6" t="inlineStr">
        <is>
          <t>分裂产物极速小杂鱼</t>
        </is>
      </c>
      <c r="H7" s="6" t="inlineStr">
        <is>
          <t>分裂</t>
        </is>
      </c>
    </row>
    <row r="8">
      <c r="A8" s="8" t="inlineStr">
        <is>
          <t>reinvent_wheel</t>
        </is>
      </c>
      <c r="B8" s="8" t="inlineStr">
        <is>
          <t>重复造轮子任务</t>
        </is>
      </c>
      <c r="C8" s="8" t="n">
        <v>12</v>
      </c>
      <c r="D8" s="8" t="n">
        <v>55</v>
      </c>
      <c r="E8" s="8" t="n">
        <v>3</v>
      </c>
      <c r="F8" s="8" t="n">
        <v>2.5</v>
      </c>
      <c r="G8" s="8" t="inlineStr">
        <is>
          <t>独立护盾5+破防1.2s硬直</t>
        </is>
      </c>
      <c r="H8" s="8" t="n">
        <v>1</v>
      </c>
    </row>
    <row r="9">
      <c r="A9" s="6" t="inlineStr">
        <is>
          <t>meeting_invite</t>
        </is>
      </c>
      <c r="B9" s="6" t="inlineStr">
        <is>
          <t>会议邀请</t>
        </is>
      </c>
      <c r="C9" s="6" t="n">
        <v>22</v>
      </c>
      <c r="D9" s="6" t="n">
        <v>50</v>
      </c>
      <c r="E9" s="6" t="n">
        <v>3.5</v>
      </c>
      <c r="F9" s="6" t="n">
        <v>2.5</v>
      </c>
      <c r="G9" s="6" t="inlineStr">
        <is>
          <t>8s改期消失+无敌</t>
        </is>
      </c>
      <c r="H9" s="6" t="n">
        <v>2</v>
      </c>
    </row>
    <row r="10">
      <c r="A10" s="8" t="inlineStr">
        <is>
          <t>message_recall</t>
        </is>
      </c>
      <c r="B10" s="8" t="inlineStr">
        <is>
          <t>已发送-撤回中</t>
        </is>
      </c>
      <c r="C10" s="8" t="n">
        <v>12</v>
      </c>
      <c r="D10" s="8" t="n">
        <v>100</v>
      </c>
      <c r="E10" s="8" t="n">
        <v>2.5</v>
      </c>
      <c r="F10" s="8" t="n">
        <v>2</v>
      </c>
      <c r="G10" s="8" t="inlineStr">
        <is>
          <t>死亡50%复活</t>
        </is>
      </c>
      <c r="H10" s="8" t="n">
        <v>2</v>
      </c>
    </row>
    <row r="11">
      <c r="A11" s="6" t="inlineStr">
        <is>
          <t>urgent_meeting</t>
        </is>
      </c>
      <c r="B11" s="6" t="inlineStr">
        <is>
          <t>加急会议提醒</t>
        </is>
      </c>
      <c r="C11" s="6" t="n">
        <v>16</v>
      </c>
      <c r="D11" s="6" t="n">
        <v>45</v>
      </c>
      <c r="E11" s="6" t="n">
        <v>0</v>
      </c>
      <c r="F11" s="6" t="n">
        <v>3</v>
      </c>
      <c r="G11" s="6" t="inlineStr">
        <is>
          <t>光圈dot+减速</t>
        </is>
      </c>
      <c r="H11" s="6" t="n">
        <v>3</v>
      </c>
    </row>
    <row r="12">
      <c r="A12" s="8" t="inlineStr">
        <is>
          <t>outsourced_army</t>
        </is>
      </c>
      <c r="B12" s="8" t="inlineStr">
        <is>
          <t>临时工外包大军</t>
        </is>
      </c>
      <c r="C12" s="8" t="n">
        <v>5</v>
      </c>
      <c r="D12" s="8" t="n">
        <v>140</v>
      </c>
      <c r="E12" s="8" t="n">
        <v>1.5</v>
      </c>
      <c r="F12" s="8" t="n">
        <v>0.8</v>
      </c>
      <c r="G12" s="8" t="inlineStr">
        <is>
          <t>6只一组合围+组奖励</t>
        </is>
      </c>
      <c r="H12" s="8" t="n">
        <v>3</v>
      </c>
    </row>
    <row r="13">
      <c r="A13" s="6" t="inlineStr">
        <is>
          <t>overtime_rework</t>
        </is>
      </c>
      <c r="B13" s="6" t="inlineStr">
        <is>
          <t>深夜返工提醒</t>
        </is>
      </c>
      <c r="C13" s="6" t="n">
        <v>24</v>
      </c>
      <c r="D13" s="6" t="n">
        <v>85</v>
      </c>
      <c r="E13" s="6" t="n">
        <v>3.5</v>
      </c>
      <c r="F13" s="6" t="n">
        <v>3.5</v>
      </c>
      <c r="G13" s="6" t="inlineStr">
        <is>
          <t>受伤攒值→冲刺→虚弱</t>
        </is>
      </c>
      <c r="H13" s="6" t="n">
        <v>4</v>
      </c>
    </row>
    <row r="14">
      <c r="A14" s="8" t="inlineStr">
        <is>
          <t>kpi_hunter</t>
        </is>
      </c>
      <c r="B14" s="8" t="inlineStr">
        <is>
          <t>KPI 追杀者</t>
        </is>
      </c>
      <c r="C14" s="8" t="n">
        <v>60</v>
      </c>
      <c r="D14" s="8" t="n">
        <v>118</v>
      </c>
      <c r="E14" s="8" t="n">
        <v>6</v>
      </c>
      <c r="F14" s="8" t="n">
        <v>8</v>
      </c>
      <c r="G14" s="8" t="inlineStr">
        <is>
          <t>中间层直线追击</t>
        </is>
      </c>
      <c r="H14" s="8" t="n">
        <v>3</v>
      </c>
    </row>
    <row r="15">
      <c r="A15" s="6" t="inlineStr">
        <is>
          <t>read_no_reply_ultimate</t>
        </is>
      </c>
      <c r="B15" s="6" t="inlineStr">
        <is>
          <t>已读不回·终极形态</t>
        </is>
      </c>
      <c r="C15" s="6" t="n">
        <v>45</v>
      </c>
      <c r="D15" s="6" t="n">
        <v>170</v>
      </c>
      <c r="E15" s="6" t="n">
        <v>2</v>
      </c>
      <c r="F15" s="6" t="n">
        <v>6</v>
      </c>
      <c r="G15" s="6" t="inlineStr">
        <is>
          <t>极高闪避+全场最快</t>
        </is>
      </c>
      <c r="H15" s="6" t="n">
        <v>5</v>
      </c>
    </row>
    <row r="16">
      <c r="A16" s="8" t="inlineStr">
        <is>
          <t>req_review_board</t>
        </is>
      </c>
      <c r="B16" s="8" t="inlineStr">
        <is>
          <t>需求评审会</t>
        </is>
      </c>
      <c r="C16" s="8" t="n">
        <v>45</v>
      </c>
      <c r="D16" s="8" t="n">
        <v>0</v>
      </c>
      <c r="E16" s="8" t="n">
        <v>0</v>
      </c>
      <c r="F16" s="8" t="n">
        <v>6</v>
      </c>
      <c r="G16" s="8" t="inlineStr">
        <is>
          <t>据点型+加速光环</t>
        </is>
      </c>
      <c r="H16" s="8" t="n">
        <v>4</v>
      </c>
    </row>
    <row r="17">
      <c r="A17" s="6" t="inlineStr">
        <is>
          <t>night_lamp</t>
        </is>
      </c>
      <c r="B17" s="6" t="inlineStr">
        <is>
          <t>深夜加班灯</t>
        </is>
      </c>
      <c r="C17" s="6" t="n">
        <v>8</v>
      </c>
      <c r="D17" s="6" t="n">
        <v>0</v>
      </c>
      <c r="E17" s="6" t="n">
        <v>0</v>
      </c>
      <c r="F17" s="6" t="n">
        <v>5</v>
      </c>
      <c r="G17" s="6" t="inlineStr">
        <is>
          <t>静止+光照易伤</t>
        </is>
      </c>
      <c r="H17" s="6" t="n">
        <v>2</v>
      </c>
    </row>
    <row r="18">
      <c r="A18" s="8" t="inlineStr">
        <is>
          <t>phishing_mail</t>
        </is>
      </c>
      <c r="B18" s="8" t="inlineStr">
        <is>
          <t>钓鱼邮件(v18)</t>
        </is>
      </c>
      <c r="C18" s="8" t="n">
        <v>14</v>
      </c>
      <c r="D18" s="8" t="n">
        <v>90</v>
      </c>
      <c r="E18" s="8" t="n">
        <v>1.5</v>
      </c>
      <c r="F18" s="8" t="n">
        <v>3</v>
      </c>
      <c r="G18" s="8" t="inlineStr">
        <is>
          <t>保距230px+发钓鱼链接减速</t>
        </is>
      </c>
      <c r="H18" s="8" t="n">
        <v>1</v>
      </c>
    </row>
    <row r="19">
      <c r="A19" s="6" t="inlineStr">
        <is>
          <t>deadline_alarm</t>
        </is>
      </c>
      <c r="B19" s="6" t="inlineStr">
        <is>
          <t>死线警报(v18)</t>
        </is>
      </c>
      <c r="C19" s="6" t="n">
        <v>16</v>
      </c>
      <c r="D19" s="6" t="n">
        <v>0</v>
      </c>
      <c r="E19" s="6" t="n">
        <v>0</v>
      </c>
      <c r="F19" s="6" t="n">
        <v>4</v>
      </c>
      <c r="G19" s="6" t="inlineStr">
        <is>
          <t>站桩+5s玩家脚下爆炸12伤</t>
        </is>
      </c>
      <c r="H19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2" customWidth="1" min="3" max="3"/>
    <col width="18" customWidth="1" min="4" max="4"/>
    <col width="10" customWidth="1" min="5" max="5"/>
    <col width="40" customWidth="1" min="6" max="6"/>
    <col width="18" customWidth="1" min="7" max="7"/>
    <col width="22" customWidth="1" min="8" max="8"/>
  </cols>
  <sheetData>
    <row r="1">
      <c r="A1" s="4" t="inlineStr">
        <is>
          <t>基于场景参数的 DPS 与 bug 组合分析</t>
        </is>
      </c>
    </row>
    <row r="3">
      <c r="A3" s="16" t="inlineStr">
        <is>
          <t>一、每把武器满 build DPS vs Boss HP 生存时间</t>
        </is>
      </c>
    </row>
    <row r="4" ht="32" customHeight="1">
      <c r="A4" s="5" t="inlineStr">
        <is>
          <t>武器</t>
        </is>
      </c>
      <c r="B4" s="5" t="inlineStr">
        <is>
          <t>kind</t>
        </is>
      </c>
      <c r="C4" s="5" t="inlineStr">
        <is>
          <t>基础 DPS</t>
        </is>
      </c>
      <c r="D4" s="5" t="inlineStr">
        <is>
          <t>满 build DPS</t>
        </is>
      </c>
      <c r="E4" s="5" t="inlineStr">
        <is>
          <t>击杀 Boss 秒数</t>
        </is>
      </c>
      <c r="F4" s="5" t="inlineStr">
        <is>
          <t>击杀狂暴期秒数</t>
        </is>
      </c>
      <c r="G4" s="5" t="inlineStr">
        <is>
          <t>评估</t>
        </is>
      </c>
    </row>
    <row r="5">
      <c r="A5" s="6" t="inlineStr">
        <is>
          <t>DeepSeek</t>
        </is>
      </c>
      <c r="B5" s="6" t="inlineStr">
        <is>
          <t>mg</t>
        </is>
      </c>
      <c r="C5" s="6">
        <f>主武器!I2</f>
        <v/>
      </c>
      <c r="D5" s="6">
        <f>主武器!N2</f>
        <v/>
      </c>
      <c r="E5" s="6">
        <f>IF(D5&gt;0, boss_hp/D5, "N/A")</f>
        <v/>
      </c>
      <c r="F5" s="6">
        <f>IF(D5&gt;0, boss_hp*(1-boss_rageT)/D5, "N/A")</f>
        <v/>
      </c>
      <c r="G5" s="6">
        <f>IF(ISNUMBER(F5), IF(F5&lt;2, "⚠️狂暴期&lt;2s被跳过", IF(F5&lt;4, "偏快", "健康")), "非弹道类另评")</f>
        <v/>
      </c>
    </row>
    <row r="6">
      <c r="A6" s="8" t="inlineStr">
        <is>
          <t>Kimi</t>
        </is>
      </c>
      <c r="B6" s="8" t="inlineStr">
        <is>
          <t>sniper</t>
        </is>
      </c>
      <c r="C6" s="8">
        <f>主武器!I3</f>
        <v/>
      </c>
      <c r="D6" s="8">
        <f>主武器!N3</f>
        <v/>
      </c>
      <c r="E6" s="8">
        <f>IF(D6&gt;0, boss_hp/D6, "N/A")</f>
        <v/>
      </c>
      <c r="F6" s="8">
        <f>IF(D6&gt;0, boss_hp*(1-boss_rageT)/D6, "N/A")</f>
        <v/>
      </c>
      <c r="G6" s="8">
        <f>IF(ISNUMBER(F6), IF(F6&lt;2, "⚠️狂暴期&lt;2s被跳过", IF(F6&lt;4, "偏快", "健康")), "非弹道类另评")</f>
        <v/>
      </c>
    </row>
    <row r="7">
      <c r="A7" s="6" t="inlineStr">
        <is>
          <t>通义千问</t>
        </is>
      </c>
      <c r="B7" s="6" t="inlineStr">
        <is>
          <t>shotgun</t>
        </is>
      </c>
      <c r="C7" s="6">
        <f>主武器!I4</f>
        <v/>
      </c>
      <c r="D7" s="6">
        <f>主武器!N4</f>
        <v/>
      </c>
      <c r="E7" s="6">
        <f>IF(D7&gt;0, boss_hp/D7, "N/A")</f>
        <v/>
      </c>
      <c r="F7" s="6">
        <f>IF(D7&gt;0, boss_hp*(1-boss_rageT)/D7, "N/A")</f>
        <v/>
      </c>
      <c r="G7" s="6">
        <f>IF(ISNUMBER(F7), IF(F7&lt;2, "⚠️狂暴期&lt;2s被跳过", IF(F7&lt;4, "偏快", "健康")), "非弹道类另评")</f>
        <v/>
      </c>
    </row>
    <row r="8">
      <c r="A8" s="8" t="inlineStr">
        <is>
          <t>文心一言</t>
        </is>
      </c>
      <c r="B8" s="8" t="inlineStr">
        <is>
          <t>lob</t>
        </is>
      </c>
      <c r="C8" s="8">
        <f>主武器!I5</f>
        <v/>
      </c>
      <c r="D8" s="8">
        <f>主武器!N5</f>
        <v/>
      </c>
      <c r="E8" s="8">
        <f>IF(D8&gt;0, boss_hp/D8, "N/A")</f>
        <v/>
      </c>
      <c r="F8" s="8">
        <f>IF(D8&gt;0, boss_hp*(1-boss_rageT)/D8, "N/A")</f>
        <v/>
      </c>
      <c r="G8" s="8">
        <f>IF(ISNUMBER(F8), IF(F8&lt;2, "⚠️狂暴期&lt;2s被跳过", IF(F8&lt;4, "偏快", "健康")), "非弹道类另评")</f>
        <v/>
      </c>
    </row>
    <row r="9">
      <c r="A9" s="6" t="inlineStr">
        <is>
          <t>豆包</t>
        </is>
      </c>
      <c r="B9" s="6" t="inlineStr">
        <is>
          <t>homing</t>
        </is>
      </c>
      <c r="C9" s="6">
        <f>主武器!I6</f>
        <v/>
      </c>
      <c r="D9" s="6">
        <f>主武器!N6</f>
        <v/>
      </c>
      <c r="E9" s="6">
        <f>IF(D9&gt;0, boss_hp/D9, "N/A")</f>
        <v/>
      </c>
      <c r="F9" s="6">
        <f>IF(D9&gt;0, boss_hp*(1-boss_rageT)/D9, "N/A")</f>
        <v/>
      </c>
      <c r="G9" s="6">
        <f>IF(ISNUMBER(F9), IF(F9&lt;2, "⚠️狂暴期&lt;2s被跳过", IF(F9&lt;4, "偏快", "健康")), "非弹道类另评")</f>
        <v/>
      </c>
    </row>
    <row r="10">
      <c r="A10" s="8" t="inlineStr">
        <is>
          <t>智谱GLM</t>
        </is>
      </c>
      <c r="B10" s="8" t="inlineStr">
        <is>
          <t>chain</t>
        </is>
      </c>
      <c r="C10" s="8">
        <f>主武器!I7</f>
        <v/>
      </c>
      <c r="D10" s="8">
        <f>主武器!N7</f>
        <v/>
      </c>
      <c r="E10" s="8">
        <f>IF(D10&gt;0, boss_hp/D10, "N/A")</f>
        <v/>
      </c>
      <c r="F10" s="8">
        <f>IF(D10&gt;0, boss_hp*(1-boss_rageT)/D10, "N/A")</f>
        <v/>
      </c>
      <c r="G10" s="8">
        <f>IF(ISNUMBER(F10), IF(F10&lt;2, "⚠️狂暴期&lt;2s被跳过", IF(F10&lt;4, "偏快", "健康")), "非弹道类另评")</f>
        <v/>
      </c>
    </row>
    <row r="11">
      <c r="A11" s="6" t="inlineStr">
        <is>
          <t>ChatGPT</t>
        </is>
      </c>
      <c r="B11" s="6" t="inlineStr">
        <is>
          <t>single</t>
        </is>
      </c>
      <c r="C11" s="6">
        <f>主武器!I8</f>
        <v/>
      </c>
      <c r="D11" s="6">
        <f>主武器!N8</f>
        <v/>
      </c>
      <c r="E11" s="6">
        <f>IF(D11&gt;0, boss_hp/D11, "N/A")</f>
        <v/>
      </c>
      <c r="F11" s="6">
        <f>IF(D11&gt;0, boss_hp*(1-boss_rageT)/D11, "N/A")</f>
        <v/>
      </c>
      <c r="G11" s="6">
        <f>IF(ISNUMBER(F11), IF(F11&lt;2, "⚠️狂暴期&lt;2s被跳过", IF(F11&lt;4, "偏快", "健康")), "非弹道类另评")</f>
        <v/>
      </c>
    </row>
    <row r="12">
      <c r="A12" s="8" t="inlineStr">
        <is>
          <t>Claude</t>
        </is>
      </c>
      <c r="B12" s="8" t="inlineStr">
        <is>
          <t>charge</t>
        </is>
      </c>
      <c r="C12" s="8">
        <f>主武器!I9</f>
        <v/>
      </c>
      <c r="D12" s="8">
        <f>主武器!N9</f>
        <v/>
      </c>
      <c r="E12" s="8">
        <f>IF(D12&gt;0, boss_hp/D12, "N/A")</f>
        <v/>
      </c>
      <c r="F12" s="8">
        <f>IF(D12&gt;0, boss_hp*(1-boss_rageT)/D12, "N/A")</f>
        <v/>
      </c>
      <c r="G12" s="8">
        <f>IF(ISNUMBER(F12), IF(F12&lt;2, "⚠️狂暴期&lt;2s被跳过", IF(F12&lt;4, "偏快", "健康")), "非弹道类另评")</f>
        <v/>
      </c>
    </row>
    <row r="13">
      <c r="A13" s="6" t="inlineStr">
        <is>
          <t>Gemini</t>
        </is>
      </c>
      <c r="B13" s="6" t="inlineStr">
        <is>
          <t>twin</t>
        </is>
      </c>
      <c r="C13" s="6">
        <f>主武器!I10</f>
        <v/>
      </c>
      <c r="D13" s="6">
        <f>主武器!N10</f>
        <v/>
      </c>
      <c r="E13" s="6">
        <f>IF(D13&gt;0, boss_hp/D13, "N/A")</f>
        <v/>
      </c>
      <c r="F13" s="6">
        <f>IF(D13&gt;0, boss_hp*(1-boss_rageT)/D13, "N/A")</f>
        <v/>
      </c>
      <c r="G13" s="6">
        <f>IF(ISNUMBER(F13), IF(F13&lt;2, "⚠️狂暴期&lt;2s被跳过", IF(F13&lt;4, "偏快", "健康")), "非弹道类另评")</f>
        <v/>
      </c>
    </row>
    <row r="14">
      <c r="A14" s="8" t="inlineStr">
        <is>
          <t>Copilot</t>
        </is>
      </c>
      <c r="B14" s="8" t="inlineStr">
        <is>
          <t>drone</t>
        </is>
      </c>
      <c r="C14" s="8">
        <f>主武器!I11</f>
        <v/>
      </c>
      <c r="D14" s="8">
        <f>主武器!N11</f>
        <v/>
      </c>
      <c r="E14" s="8">
        <f>IF(D14&gt;0, boss_hp/D14, "N/A")</f>
        <v/>
      </c>
      <c r="F14" s="8">
        <f>IF(D14&gt;0, boss_hp*(1-boss_rageT)/D14, "N/A")</f>
        <v/>
      </c>
      <c r="G14" s="8">
        <f>IF(ISNUMBER(F14), IF(F14&lt;2, "⚠️狂暴期&lt;2s被跳过", IF(F14&lt;4, "偏快", "健康")), "非弹道类另评")</f>
        <v/>
      </c>
    </row>
    <row r="15">
      <c r="A15" s="6" t="inlineStr">
        <is>
          <t>Midjourney</t>
        </is>
      </c>
      <c r="B15" s="6" t="inlineStr">
        <is>
          <t>gacha</t>
        </is>
      </c>
      <c r="C15" s="6">
        <f>主武器!I12</f>
        <v/>
      </c>
      <c r="D15" s="6">
        <f>主武器!N12</f>
        <v/>
      </c>
      <c r="E15" s="6">
        <f>IF(D15&gt;0, boss_hp/D15, "N/A")</f>
        <v/>
      </c>
      <c r="F15" s="6">
        <f>IF(D15&gt;0, boss_hp*(1-boss_rageT)/D15, "N/A")</f>
        <v/>
      </c>
      <c r="G15" s="6">
        <f>IF(ISNUMBER(F15), IF(F15&lt;2, "⚠️狂暴期&lt;2s被跳过", IF(F15&lt;4, "偏快", "健康")), "非弹道类另评")</f>
        <v/>
      </c>
    </row>
    <row r="16">
      <c r="A16" s="8" t="inlineStr">
        <is>
          <t>Grok</t>
        </is>
      </c>
      <c r="B16" s="8" t="inlineStr">
        <is>
          <t>boomerang</t>
        </is>
      </c>
      <c r="C16" s="8">
        <f>主武器!I13</f>
        <v/>
      </c>
      <c r="D16" s="8">
        <f>主武器!N13</f>
        <v/>
      </c>
      <c r="E16" s="8">
        <f>IF(D16&gt;0, boss_hp/D16, "N/A")</f>
        <v/>
      </c>
      <c r="F16" s="8">
        <f>IF(D16&gt;0, boss_hp*(1-boss_rageT)/D16, "N/A")</f>
        <v/>
      </c>
      <c r="G16" s="8">
        <f>IF(ISNUMBER(F16), IF(F16&lt;2, "⚠️狂暴期&lt;2s被跳过", IF(F16&lt;4, "偏快", "健康")), "非弹道类另评")</f>
        <v/>
      </c>
    </row>
    <row r="17">
      <c r="A17" s="6" t="inlineStr">
        <is>
          <t>Meta Llama(v18)</t>
        </is>
      </c>
      <c r="B17" s="6" t="inlineStr">
        <is>
          <t>aura</t>
        </is>
      </c>
      <c r="C17" s="6">
        <f>主武器!I14</f>
        <v/>
      </c>
      <c r="D17" s="6">
        <f>主武器!N14</f>
        <v/>
      </c>
      <c r="E17" s="6">
        <f>IF(D17&gt;0, boss_hp/D17, "N/A")</f>
        <v/>
      </c>
      <c r="F17" s="6">
        <f>IF(D17&gt;0, boss_hp*(1-boss_rageT)/D17, "N/A")</f>
        <v/>
      </c>
      <c r="G17" s="6">
        <f>IF(ISNUMBER(F17), IF(F17&lt;2, "⚠️狂暴期&lt;2s被跳过", IF(F17&lt;4, "偏快", "健康")), "非弹道类另评")</f>
        <v/>
      </c>
    </row>
    <row r="18">
      <c r="A18" s="8" t="inlineStr">
        <is>
          <t>MiniMax(v18)</t>
        </is>
      </c>
      <c r="B18" s="8" t="inlineStr">
        <is>
          <t>totem</t>
        </is>
      </c>
      <c r="C18" s="8">
        <f>主武器!I15</f>
        <v/>
      </c>
      <c r="D18" s="8">
        <f>主武器!N15</f>
        <v/>
      </c>
      <c r="E18" s="8">
        <f>IF(D18&gt;0, boss_hp/D18, "N/A")</f>
        <v/>
      </c>
      <c r="F18" s="8">
        <f>IF(D18&gt;0, boss_hp*(1-boss_rageT)/D18, "N/A")</f>
        <v/>
      </c>
      <c r="G18" s="8">
        <f>IF(ISNUMBER(F18), IF(F18&lt;2, "⚠️狂暴期&lt;2s被跳过", IF(F18&lt;4, "偏快", "健康")), "非弹道类另评")</f>
        <v/>
      </c>
    </row>
    <row r="19">
      <c r="A19" s="6" t="inlineStr">
        <is>
          <t>月之暗面(v18)</t>
        </is>
      </c>
      <c r="B19" s="6" t="inlineStr">
        <is>
          <t>mine</t>
        </is>
      </c>
      <c r="C19" s="6">
        <f>主武器!I16</f>
        <v/>
      </c>
      <c r="D19" s="6">
        <f>主武器!N16</f>
        <v/>
      </c>
      <c r="E19" s="6">
        <f>IF(D19&gt;0, boss_hp/D19, "N/A")</f>
        <v/>
      </c>
      <c r="F19" s="6">
        <f>IF(D19&gt;0, boss_hp*(1-boss_rageT)/D19, "N/A")</f>
        <v/>
      </c>
      <c r="G19" s="6">
        <f>IF(ISNUMBER(F19), IF(F19&lt;2, "⚠️狂暴期&lt;2s被跳过", IF(F19&lt;4, "偏快", "健康")), "非弹道类另评")</f>
        <v/>
      </c>
    </row>
    <row r="20">
      <c r="A20" s="8" t="inlineStr">
        <is>
          <t>智谱清言(v18)</t>
        </is>
      </c>
      <c r="B20" s="8" t="inlineStr">
        <is>
          <t>summon</t>
        </is>
      </c>
      <c r="C20" s="8">
        <f>主武器!I17</f>
        <v/>
      </c>
      <c r="D20" s="8">
        <f>主武器!N17</f>
        <v/>
      </c>
      <c r="E20" s="8">
        <f>IF(D20&gt;0, boss_hp/D20, "N/A")</f>
        <v/>
      </c>
      <c r="F20" s="8">
        <f>IF(D20&gt;0, boss_hp*(1-boss_rageT)/D20, "N/A")</f>
        <v/>
      </c>
      <c r="G20" s="8">
        <f>IF(ISNUMBER(F20), IF(F20&lt;2, "⚠️狂暴期&lt;2s被跳过", IF(F20&lt;4, "偏快", "健康")), "非弹道类另评")</f>
        <v/>
      </c>
    </row>
    <row r="21">
      <c r="A21" s="6" t="inlineStr">
        <is>
          <t>百川智能(v18)</t>
        </is>
      </c>
      <c r="B21" s="6" t="inlineStr">
        <is>
          <t>field</t>
        </is>
      </c>
      <c r="C21" s="6">
        <f>主武器!I18</f>
        <v/>
      </c>
      <c r="D21" s="6">
        <f>主武器!N18</f>
        <v/>
      </c>
      <c r="E21" s="6">
        <f>IF(D21&gt;0, boss_hp/D21, "N/A")</f>
        <v/>
      </c>
      <c r="F21" s="6">
        <f>IF(D21&gt;0, boss_hp*(1-boss_rageT)/D21, "N/A")</f>
        <v/>
      </c>
      <c r="G21" s="6">
        <f>IF(ISNUMBER(F21), IF(F21&lt;2, "⚠️狂暴期&lt;2s被跳过", IF(F21&lt;4, "偏快", "健康")), "非弹道类另评")</f>
        <v/>
      </c>
    </row>
    <row r="24">
      <c r="A24" s="16" t="inlineStr">
        <is>
          <t>二、Proc 复合触发率——同时装满 8 种附魔（onHit + onCrit + onKill + onHurt）</t>
        </is>
      </c>
    </row>
    <row r="25" ht="32" customHeight="1">
      <c r="A25" s="5" t="inlineStr">
        <is>
          <t>hook</t>
        </is>
      </c>
      <c r="B25" s="5" t="inlineStr">
        <is>
          <t>单效果满级触发率</t>
        </is>
      </c>
      <c r="C25" s="5" t="inlineStr">
        <is>
          <t>同 hook 独立效果数</t>
        </is>
      </c>
      <c r="D25" s="5" t="inlineStr">
        <is>
          <t>至少一个触发概率</t>
        </is>
      </c>
      <c r="E25" s="5" t="inlineStr">
        <is>
          <t>备注</t>
        </is>
      </c>
    </row>
    <row r="26">
      <c r="A26" s="8" t="inlineStr">
        <is>
          <t>onHit</t>
        </is>
      </c>
      <c r="B26" s="14" t="n">
        <v>0.2</v>
      </c>
      <c r="C26" s="8" t="n">
        <v>3</v>
      </c>
      <c r="D26" s="14">
        <f>1 - (1-B26)^C26</f>
        <v/>
      </c>
      <c r="E26" s="8" t="inlineStr">
        <is>
          <t>火焰附魔</t>
        </is>
      </c>
    </row>
    <row r="27">
      <c r="A27" s="6" t="inlineStr">
        <is>
          <t>onHit</t>
        </is>
      </c>
      <c r="B27" s="15" t="n">
        <v>0.25</v>
      </c>
      <c r="C27" s="6" t="n">
        <v>3</v>
      </c>
      <c r="D27" s="15">
        <f>1 - (1-B27)^C27</f>
        <v/>
      </c>
      <c r="E27" s="6" t="inlineStr">
        <is>
          <t>冰霜附魔</t>
        </is>
      </c>
    </row>
    <row r="28">
      <c r="A28" s="8" t="inlineStr">
        <is>
          <t>onHit</t>
        </is>
      </c>
      <c r="B28" s="14" t="n">
        <v>0.3</v>
      </c>
      <c r="C28" s="8" t="n">
        <v>3</v>
      </c>
      <c r="D28" s="14">
        <f>1 - (1-B28)^C28</f>
        <v/>
      </c>
      <c r="E28" s="8" t="inlineStr">
        <is>
          <t>毒液附魔</t>
        </is>
      </c>
    </row>
    <row r="29">
      <c r="A29" s="6" t="inlineStr">
        <is>
          <t>onHit</t>
        </is>
      </c>
      <c r="B29" s="15" t="n">
        <v>0.5</v>
      </c>
      <c r="C29" s="6" t="n">
        <v>3</v>
      </c>
      <c r="D29" s="15">
        <f>1 - (1-B29)^C29</f>
        <v/>
      </c>
      <c r="E29" s="6" t="inlineStr">
        <is>
          <t>吸血附魔</t>
        </is>
      </c>
    </row>
    <row r="30">
      <c r="A30" s="8" t="inlineStr">
        <is>
          <t>onCrit</t>
        </is>
      </c>
      <c r="B30" s="14" t="n">
        <v>0.4</v>
      </c>
      <c r="C30" s="8" t="n">
        <v>3</v>
      </c>
      <c r="D30" s="14">
        <f>1 - (1-B30)^C30</f>
        <v/>
      </c>
      <c r="E30" s="8" t="inlineStr">
        <is>
          <t>雷电附魔</t>
        </is>
      </c>
    </row>
    <row r="31">
      <c r="A31" s="6" t="inlineStr">
        <is>
          <t>onKill</t>
        </is>
      </c>
      <c r="B31" s="15" t="n">
        <v>0.6</v>
      </c>
      <c r="C31" s="6" t="n">
        <v>2</v>
      </c>
      <c r="D31" s="15">
        <f>1 - (1-B31)^C31</f>
        <v/>
      </c>
      <c r="E31" s="6" t="inlineStr">
        <is>
          <t>击杀护盾</t>
        </is>
      </c>
    </row>
    <row r="32">
      <c r="A32" s="8" t="inlineStr">
        <is>
          <t>onKill</t>
        </is>
      </c>
      <c r="B32" s="14" t="n">
        <v>0.4</v>
      </c>
      <c r="C32" s="8" t="n">
        <v>2</v>
      </c>
      <c r="D32" s="14">
        <f>1 - (1-B32)^C32</f>
        <v/>
      </c>
      <c r="E32" s="8" t="inlineStr">
        <is>
          <t>尸爆</t>
        </is>
      </c>
    </row>
    <row r="33">
      <c r="A33" s="6" t="inlineStr">
        <is>
          <t>onHurt</t>
        </is>
      </c>
      <c r="B33" s="15" t="n">
        <v>1</v>
      </c>
      <c r="C33" s="6" t="n">
        <v>3</v>
      </c>
      <c r="D33" s="15">
        <f>1 - (1-B33)^C33</f>
        <v/>
      </c>
      <c r="E33" s="6" t="inlineStr">
        <is>
          <t>复仇圆环</t>
        </is>
      </c>
    </row>
    <row r="34">
      <c r="A34" s="8" t="n"/>
      <c r="B34" s="8" t="n"/>
      <c r="C34" s="8" t="n"/>
      <c r="D34" s="8" t="n"/>
      <c r="E34" s="8" t="n"/>
    </row>
    <row r="35">
      <c r="A35" s="2" t="inlineStr">
        <is>
          <t>onHit 类满级 4 张同装 → 至少一个触发概率(独立事件)</t>
        </is>
      </c>
      <c r="D35" s="17">
        <f>1 - (1-D26)*(1-D27)*(1-D28)*(1-D29)</f>
        <v/>
      </c>
      <c r="E35" s="18" t="inlineStr">
        <is>
          <t>⚠️ 若&gt;=90% 意味着每一发子弹都必然触发多种附魔效果</t>
        </is>
      </c>
    </row>
    <row r="37">
      <c r="A37" s="16" t="inlineStr">
        <is>
          <t>三、v18 修正后 破局技能 等效 DPS（是否仍溢出）</t>
        </is>
      </c>
    </row>
    <row r="38" ht="32" customHeight="1">
      <c r="A38" s="5" t="inlineStr">
        <is>
          <t>技能</t>
        </is>
      </c>
      <c r="B38" s="5" t="inlineStr">
        <is>
          <t>触发方式</t>
        </is>
      </c>
      <c r="C38" s="5" t="inlineStr">
        <is>
          <t>目标数</t>
        </is>
      </c>
      <c r="D38" s="5" t="inlineStr">
        <is>
          <t>单次总伤害</t>
        </is>
      </c>
      <c r="E38" s="5" t="inlineStr">
        <is>
          <t>触发周期(s)</t>
        </is>
      </c>
      <c r="F38" s="5" t="inlineStr">
        <is>
          <t>等效 DPS</t>
        </is>
      </c>
      <c r="G38" s="5" t="inlineStr">
        <is>
          <t>与武器 DPS 对比</t>
        </is>
      </c>
      <c r="H38" s="5" t="inlineStr">
        <is>
          <t>评估</t>
        </is>
      </c>
    </row>
    <row r="39">
      <c r="A39" s="6" t="inlineStr">
        <is>
          <t>假勤奋真怠工(v18池)</t>
        </is>
      </c>
      <c r="B39" s="6" t="inlineStr">
        <is>
          <t>不受伤8s触发</t>
        </is>
      </c>
      <c r="C39" s="6" t="n">
        <v>15</v>
      </c>
      <c r="D39" s="6">
        <f>15 * MIN(pl_dmg*10*3, pl_dmg*10*8/15)</f>
        <v/>
      </c>
      <c r="E39" s="6" t="n">
        <v>8</v>
      </c>
      <c r="F39" s="6">
        <f>IF(E39&gt;0, D39/E39, D39)</f>
        <v/>
      </c>
      <c r="G39" s="19">
        <f>F39 / 主武器!N8</f>
        <v/>
      </c>
      <c r="H39" s="6">
        <f>IF(G39&gt;=1.0, "⚠️相当于额外一把满build武器", IF(G39&gt;=0.5, "值得注意", "已修正"))</f>
        <v/>
      </c>
    </row>
    <row r="40">
      <c r="A40" s="8" t="inlineStr">
        <is>
          <t>永动摸鱼引擎(v18)</t>
        </is>
      </c>
      <c r="B40" s="8" t="inlineStr">
        <is>
          <t>移800px触发</t>
        </is>
      </c>
      <c r="C40" s="8" t="n">
        <v>3</v>
      </c>
      <c r="D40" s="8">
        <f>pl_dmg*10*0.6 * 5 * 2 * 3</f>
        <v/>
      </c>
      <c r="E40" s="8" t="n">
        <v>12</v>
      </c>
      <c r="F40" s="8">
        <f>IF(E40&gt;0, D40/E40, D40)</f>
        <v/>
      </c>
      <c r="G40" s="20">
        <f>F40 / 主武器!N8</f>
        <v/>
      </c>
      <c r="H40" s="8">
        <f>IF(G40&gt;=1.0, "⚠️相当于额外一把满build武器", IF(G40&gt;=0.5, "值得注意", "已修正"))</f>
        <v/>
      </c>
    </row>
    <row r="41">
      <c r="A41" s="6" t="inlineStr">
        <is>
          <t>末位淘汰制(v18 cap 250)</t>
        </is>
      </c>
      <c r="B41" s="6" t="inlineStr">
        <is>
          <t>每8s一次</t>
        </is>
      </c>
      <c r="C41" s="6" t="n">
        <v>3</v>
      </c>
      <c r="D41" s="6">
        <f>250 * 3</f>
        <v/>
      </c>
      <c r="E41" s="6" t="n">
        <v>8</v>
      </c>
      <c r="F41" s="6">
        <f>IF(E41&gt;0, D41/E41, D41)</f>
        <v/>
      </c>
      <c r="G41" s="19">
        <f>F41 / 主武器!N8</f>
        <v/>
      </c>
      <c r="H41" s="6">
        <f>IF(G41&gt;=1.0, "⚠️相当于额外一把满build武器", IF(G41&gt;=0.5, "值得注意", "已修正"))</f>
        <v/>
      </c>
    </row>
    <row r="42">
      <c r="A42" s="8" t="inlineStr">
        <is>
          <t>全员大会核爆</t>
        </is>
      </c>
      <c r="B42" s="8" t="inlineStr">
        <is>
          <t>30积分触发</t>
        </is>
      </c>
      <c r="C42" s="8" t="n">
        <v>10</v>
      </c>
      <c r="D42" s="8">
        <f>pl_dmg*10*3.5 * 10</f>
        <v/>
      </c>
      <c r="E42" s="8" t="n">
        <v>30</v>
      </c>
      <c r="F42" s="8">
        <f>IF(E42&gt;0, D42/E42, D42)</f>
        <v/>
      </c>
      <c r="G42" s="20">
        <f>F42 / 主武器!N8</f>
        <v/>
      </c>
      <c r="H42" s="8">
        <f>IF(G42&gt;=1.0, "⚠️相当于额外一把满build武器", IF(G42&gt;=0.5, "值得注意", "已修正"))</f>
        <v/>
      </c>
    </row>
    <row r="43">
      <c r="A43" s="6" t="inlineStr">
        <is>
          <t>甩锅式反伤觉醒</t>
        </is>
      </c>
      <c r="B43" s="6" t="inlineStr">
        <is>
          <t>受伤转移</t>
        </is>
      </c>
      <c r="C43" s="6" t="n">
        <v>1</v>
      </c>
      <c r="D43" s="6">
        <f>pl_dmg*10*20*0.8*1.5</f>
        <v/>
      </c>
      <c r="E43" s="6" t="n">
        <v>5</v>
      </c>
      <c r="F43" s="6">
        <f>IF(E43&gt;0, D43/E43, D43)</f>
        <v/>
      </c>
      <c r="G43" s="19">
        <f>F43 / 主武器!N8</f>
        <v/>
      </c>
      <c r="H43" s="6">
        <f>IF(G43&gt;=1.0, "⚠️相当于额外一把满build武器", IF(G43&gt;=0.5, "值得注意", "已修正"))</f>
        <v/>
      </c>
    </row>
    <row r="46">
      <c r="A46" s="16" t="inlineStr">
        <is>
          <t>四、Boss 战总时长（v18 前后）</t>
        </is>
      </c>
    </row>
    <row r="47" ht="32" customHeight="1">
      <c r="A47" s="5" t="inlineStr">
        <is>
          <t>阶段</t>
        </is>
      </c>
      <c r="B47" s="5" t="inlineStr">
        <is>
          <t>Boss HP</t>
        </is>
      </c>
      <c r="C47" s="5" t="inlineStr">
        <is>
          <t>玩家 DPS</t>
        </is>
      </c>
      <c r="D47" s="5" t="inlineStr">
        <is>
          <t>击杀秒数</t>
        </is>
      </c>
      <c r="E47" s="5" t="inlineStr">
        <is>
          <t>v18 修正后</t>
        </is>
      </c>
      <c r="F47" s="5" t="inlineStr">
        <is>
          <t>设计意图</t>
        </is>
      </c>
      <c r="G47" s="5" t="inlineStr">
        <is>
          <t>评估</t>
        </is>
      </c>
    </row>
    <row r="48">
      <c r="A48" s="8" t="inlineStr">
        <is>
          <t>v16(旧) 满 build vs Boss</t>
        </is>
      </c>
      <c r="B48" s="8" t="n">
        <v>4360</v>
      </c>
      <c r="C48" s="8" t="n">
        <v>2000</v>
      </c>
      <c r="D48" s="8">
        <f>B48/C48</f>
        <v/>
      </c>
      <c r="E48" s="8" t="inlineStr">
        <is>
          <t>—</t>
        </is>
      </c>
      <c r="F48" s="8" t="inlineStr">
        <is>
          <t>应有第二阶段</t>
        </is>
      </c>
      <c r="G48" s="21" t="inlineStr">
        <is>
          <t>⚠️狂暴期 1-2 秒被跳过</t>
        </is>
      </c>
    </row>
    <row r="49">
      <c r="A49" s="6" t="inlineStr">
        <is>
          <t>v18(新) 满 build vs Boss</t>
        </is>
      </c>
      <c r="B49" s="6">
        <f>boss_hp</f>
        <v/>
      </c>
      <c r="C49" s="6" t="n">
        <v>2000</v>
      </c>
      <c r="D49" s="6">
        <f>B49/C49</f>
        <v/>
      </c>
      <c r="E49" s="6">
        <f>B49*(1-boss_rageT)/(C49*boss_dmgTakenRage) + boss_shieldPct*B49/(C49*boss_dmgTakenRage)</f>
        <v/>
      </c>
      <c r="F49" s="6" t="inlineStr">
        <is>
          <t>狂暴期 3-5 秒</t>
        </is>
      </c>
      <c r="G49" s="6">
        <f>IF(E49&gt;=3, "健康", "仍偏快")</f>
        <v/>
      </c>
    </row>
    <row r="51">
      <c r="A51" s="16" t="inlineStr">
        <is>
          <t>五、已知设计缺口 &amp; bug 组合汇总</t>
        </is>
      </c>
    </row>
    <row r="52" ht="32" customHeight="1">
      <c r="A52" s="5" t="inlineStr">
        <is>
          <t>#</t>
        </is>
      </c>
      <c r="B52" s="5" t="inlineStr">
        <is>
          <t>类别</t>
        </is>
      </c>
      <c r="C52" s="5" t="inlineStr">
        <is>
          <t>组合/内容</t>
        </is>
      </c>
      <c r="D52" s="5" t="inlineStr">
        <is>
          <t>影响</t>
        </is>
      </c>
      <c r="E52" s="5" t="inlineStr">
        <is>
          <t>严重程度</t>
        </is>
      </c>
      <c r="F52" s="5" t="inlineStr">
        <is>
          <t>建议</t>
        </is>
      </c>
    </row>
    <row r="53">
      <c r="A53" s="6" t="inlineStr">
        <is>
          <t>1</t>
        </is>
      </c>
      <c r="B53" s="6" t="inlineStr">
        <is>
          <t>结构性</t>
        </is>
      </c>
      <c r="C53" s="6" t="inlineStr">
        <is>
          <t>主动技能同时只装 1 个 / 8 种</t>
        </is>
      </c>
      <c r="D53" s="6" t="inlineStr">
        <is>
          <t>75% 主动技能一局用不到</t>
        </is>
      </c>
      <c r="E53" s="6" t="inlineStr">
        <is>
          <t>高</t>
        </is>
      </c>
      <c r="F53" s="6" t="inlineStr">
        <is>
          <t>扩到 2 槽（改 pl.actives 数组）</t>
        </is>
      </c>
    </row>
    <row r="54">
      <c r="A54" s="8" t="inlineStr">
        <is>
          <t>2</t>
        </is>
      </c>
      <c r="B54" s="8" t="inlineStr">
        <is>
          <t>内容</t>
        </is>
      </c>
      <c r="C54" s="8" t="inlineStr">
        <is>
          <t>3 个人设(RLHF/万年活人矿/OPC)未做</t>
        </is>
      </c>
      <c r="D54" s="8" t="inlineStr">
        <is>
          <t>技能池只用了 40%</t>
        </is>
      </c>
      <c r="E54" s="8" t="inlineStr">
        <is>
          <t>高</t>
        </is>
      </c>
      <c r="F54" s="8" t="inlineStr">
        <is>
          <t>按报告落地剩余人设</t>
        </is>
      </c>
    </row>
    <row r="55">
      <c r="A55" s="6" t="inlineStr">
        <is>
          <t>3</t>
        </is>
      </c>
      <c r="B55" s="6" t="inlineStr">
        <is>
          <t>内容</t>
        </is>
      </c>
      <c r="C55" s="6" t="inlineStr">
        <is>
          <t>6 组觉醒配方未做</t>
        </is>
      </c>
      <c r="D55" s="6" t="inlineStr">
        <is>
          <t>玩家进化体验残缺</t>
        </is>
      </c>
      <c r="E55" s="6" t="inlineStr">
        <is>
          <t>中</t>
        </is>
      </c>
      <c r="F55" s="6" t="inlineStr">
        <is>
          <t>按 evolutions.js 补齐</t>
        </is>
      </c>
    </row>
    <row r="56">
      <c r="A56" s="8" t="inlineStr">
        <is>
          <t>4</t>
        </is>
      </c>
      <c r="B56" s="8" t="inlineStr">
        <is>
          <t>传说</t>
        </is>
      </c>
      <c r="C56" s="8" t="inlineStr">
        <is>
          <t>6 把传说 5 把无质变</t>
        </is>
      </c>
      <c r="D56" s="8" t="inlineStr">
        <is>
          <t>融合的爽感稀薄</t>
        </is>
      </c>
      <c r="E56" s="8" t="inlineStr">
        <is>
          <t>中</t>
        </is>
      </c>
      <c r="F56" s="8" t="inlineStr">
        <is>
          <t>给现有 5 把加质变机制</t>
        </is>
      </c>
    </row>
    <row r="57">
      <c r="A57" s="6" t="inlineStr">
        <is>
          <t>5</t>
        </is>
      </c>
      <c r="B57" s="6" t="inlineStr">
        <is>
          <t>功能</t>
        </is>
      </c>
      <c r="C57" s="6" t="inlineStr">
        <is>
          <t>玩家不能诅咒敌人</t>
        </is>
      </c>
      <c r="D57" s="6" t="inlineStr">
        <is>
          <t>和"降本增效官"人设违和</t>
        </is>
      </c>
      <c r="E57" s="6" t="inlineStr">
        <is>
          <t>中</t>
        </is>
      </c>
      <c r="F57" s="6" t="inlineStr">
        <is>
          <t>新增 curse_kpi/curse_pua 技能</t>
        </is>
      </c>
    </row>
    <row r="58">
      <c r="A58" s="8" t="inlineStr">
        <is>
          <t>6</t>
        </is>
      </c>
      <c r="B58" s="8" t="inlineStr">
        <is>
          <t>功能</t>
        </is>
      </c>
      <c r="C58" s="8" t="inlineStr">
        <is>
          <t>消耗品缺主动免死</t>
        </is>
      </c>
      <c r="D58" s="8" t="inlineStr">
        <is>
          <t>死亡零操作反制</t>
        </is>
      </c>
      <c r="E58" s="8" t="inlineStr">
        <is>
          <t>中</t>
        </is>
      </c>
      <c r="F58" s="8" t="inlineStr">
        <is>
          <t>加"急救包"消耗品</t>
        </is>
      </c>
    </row>
    <row r="59">
      <c r="A59" s="6" t="inlineStr">
        <is>
          <t>7</t>
        </is>
      </c>
      <c r="B59" s="6" t="inlineStr">
        <is>
          <t>Proc 复合</t>
        </is>
      </c>
      <c r="C59" s="6" t="inlineStr">
        <is>
          <t>4 张 onHit 满级同装触发率≈&gt;90%</t>
        </is>
      </c>
      <c r="D59" s="6" t="inlineStr">
        <is>
          <t>每发子弹必触发多附魔=破坏稀有感</t>
        </is>
      </c>
      <c r="E59" s="6" t="inlineStr">
        <is>
          <t>中</t>
        </is>
      </c>
      <c r="F59" s="6" t="inlineStr">
        <is>
          <t>给同类 proc 加互斥或整体触发上限 60%</t>
        </is>
      </c>
    </row>
    <row r="60">
      <c r="A60" s="8" t="inlineStr">
        <is>
          <t>8</t>
        </is>
      </c>
      <c r="B60" s="8" t="inlineStr">
        <is>
          <t>架构</t>
        </is>
      </c>
      <c r="C60" s="8" t="inlineStr">
        <is>
          <t>胜利即硬停 setState("win") 冻结 update</t>
        </is>
      </c>
      <c r="D60" s="8" t="inlineStr">
        <is>
          <t>打完 42 单位无处继续</t>
        </is>
      </c>
      <c r="E60" s="8" t="inlineStr">
        <is>
          <t>高</t>
        </is>
      </c>
      <c r="F60" s="8" t="inlineStr">
        <is>
          <t>实现无尽模式</t>
        </is>
      </c>
    </row>
    <row r="61">
      <c r="A61" s="6" t="inlineStr">
        <is>
          <t>9</t>
        </is>
      </c>
      <c r="B61" s="6" t="inlineStr">
        <is>
          <t>Boss</t>
        </is>
      </c>
      <c r="C61" s="6" t="inlineStr">
        <is>
          <t>Boss 只 1 个终局</t>
        </is>
      </c>
      <c r="D61" s="6" t="inlineStr">
        <is>
          <t>重玩性差</t>
        </is>
      </c>
      <c r="E61" s="6" t="inlineStr">
        <is>
          <t>中</t>
        </is>
      </c>
      <c r="F61" s="6" t="inlineStr">
        <is>
          <t>加 Boss Rush 或周年会战</t>
        </is>
      </c>
    </row>
    <row r="62">
      <c r="A62" s="8" t="inlineStr">
        <is>
          <t>10</t>
        </is>
      </c>
      <c r="B62" s="8" t="inlineStr">
        <is>
          <t>早期</t>
        </is>
      </c>
      <c r="C62" s="8" t="inlineStr">
        <is>
          <t>月 1-2 只有 5 种 AI 品类</t>
        </is>
      </c>
      <c r="D62" s="8" t="inlineStr">
        <is>
          <t>中期(月3-4)其实没有新 AI 品类加入，只是数量增多</t>
        </is>
      </c>
      <c r="E62" s="8" t="inlineStr">
        <is>
          <t>低</t>
        </is>
      </c>
      <c r="F62" s="8" t="inlineStr">
        <is>
          <t>给月 3-4 各加 1 只新 AI</t>
        </is>
      </c>
    </row>
    <row r="63">
      <c r="A63" s="6" t="inlineStr">
        <is>
          <t>11</t>
        </is>
      </c>
      <c r="B63" s="6" t="inlineStr">
        <is>
          <t>HR</t>
        </is>
      </c>
      <c r="C63" s="6" t="inlineStr">
        <is>
          <t>HR 只 Boss 战刷</t>
        </is>
      </c>
      <c r="D63" s="6" t="inlineStr">
        <is>
          <t>前面 300s 长时间无 HR 对手</t>
        </is>
      </c>
      <c r="E63" s="6" t="inlineStr">
        <is>
          <t>低</t>
        </is>
      </c>
      <c r="F63" s="6" t="inlineStr">
        <is>
          <t>缩圈第 3 阶段刷 1-2 个</t>
        </is>
      </c>
    </row>
    <row r="64">
      <c r="A64" s="8" t="inlineStr">
        <is>
          <t>12</t>
        </is>
      </c>
      <c r="B64" s="8" t="inlineStr">
        <is>
          <t>精英</t>
        </is>
      </c>
      <c r="C64" s="8" t="inlineStr">
        <is>
          <t>精英不掉传说芯片</t>
        </is>
      </c>
      <c r="D64" s="8" t="inlineStr">
        <is>
          <t>击杀大目标缺爽感</t>
        </is>
      </c>
      <c r="E64" s="8" t="inlineStr">
        <is>
          <t>低</t>
        </is>
      </c>
      <c r="F64" s="8" t="inlineStr">
        <is>
          <t>T2 小 Boss 稀有掉传说部件</t>
        </is>
      </c>
    </row>
  </sheetData>
  <mergeCells count="6">
    <mergeCell ref="A46:H46"/>
    <mergeCell ref="A24:H24"/>
    <mergeCell ref="A51:H51"/>
    <mergeCell ref="A35:C35"/>
    <mergeCell ref="A1:H1"/>
    <mergeCell ref="A37:H37"/>
  </mergeCells>
  <conditionalFormatting sqref="E5:E21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G5:G21">
    <cfRule type="cellIs" priority="2" operator="beginsWith" dxfId="0">
      <formula>"⚠️"</formula>
    </cfRule>
    <cfRule type="cellIs" priority="3" operator="equal" dxfId="1">
      <formula>"健康"</formula>
    </cfRule>
  </conditionalFormatting>
  <conditionalFormatting sqref="H39:H43">
    <cfRule type="cellIs" priority="4" operator="beginsWith" dxfId="0">
      <formula>"⚠️"</formula>
    </cfRule>
    <cfRule type="cellIs" priority="5" operator="equal" dxfId="1">
      <formula>"已修正"</formula>
    </cfRule>
  </conditionalFormatting>
  <conditionalFormatting sqref="G48:G49">
    <cfRule type="cellIs" priority="6" operator="equal" dxfId="1">
      <formula>"健康"</formula>
    </cfRule>
    <cfRule type="cellIs" priority="7" operator="beginsWith" dxfId="0">
      <formula>"⚠️"</formula>
    </cfRule>
  </conditionalFormatting>
  <conditionalFormatting sqref="E53:E64">
    <cfRule type="cellIs" priority="8" operator="equal" dxfId="0">
      <formula>"高"</formula>
    </cfRule>
    <cfRule type="cellIs" priority="9" operator="equal" dxfId="2">
      <formula>"中"</formula>
    </cfRule>
    <cfRule type="cellIs" priority="10" operator="equal" dxfId="1">
      <formula>"低"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60" customWidth="1" min="4" max="4"/>
    <col width="30" customWidth="1" min="5" max="5"/>
    <col width="8" customWidth="1" min="6" max="6"/>
    <col width="42" customWidth="1" min="7" max="7"/>
  </cols>
  <sheetData>
    <row r="1">
      <c r="A1" s="22" t="inlineStr">
        <is>
          <t>公式驱动分析发现的失衡（v18 现状，非设计文档已列的）</t>
        </is>
      </c>
    </row>
    <row r="3" ht="32" customHeight="1">
      <c r="A3" s="5" t="inlineStr">
        <is>
          <t>#</t>
        </is>
      </c>
      <c r="B3" s="5" t="inlineStr">
        <is>
          <t>类别</t>
        </is>
      </c>
      <c r="C3" s="5" t="inlineStr">
        <is>
          <t>Bug</t>
        </is>
      </c>
      <c r="D3" s="5" t="inlineStr">
        <is>
          <t>公式代入数字</t>
        </is>
      </c>
      <c r="E3" s="5" t="inlineStr">
        <is>
          <t>影响</t>
        </is>
      </c>
      <c r="F3" s="5" t="inlineStr">
        <is>
          <t>严重度</t>
        </is>
      </c>
      <c r="G3" s="5" t="inlineStr">
        <is>
          <t>建议修法</t>
        </is>
      </c>
      <c r="H3" s="23" t="inlineStr">
        <is>
          <t>v18 修复状态</t>
        </is>
      </c>
    </row>
    <row r="4">
      <c r="A4" s="8" t="n">
        <v>1</v>
      </c>
      <c r="B4" s="8" t="inlineStr">
        <is>
          <t>主武器超模</t>
        </is>
      </c>
      <c r="C4" s="8" t="inlineStr">
        <is>
          <t>MiniMax(totem) 满 build DPS = 2992 (第 1 名)——超过 Claude 71%</t>
        </is>
      </c>
      <c r="D4" s="8" t="inlineStr">
        <is>
          <t>3 × 8dmg × 2.856 lvlMult × 2.167 pl_dmg × 2.466 echo × 1.57 crit × 2.862 fireRateOf / 0.55 shotCd = 2992</t>
        </is>
      </c>
      <c r="E4" s="8" t="inlineStr">
        <is>
          <t>成为最强主武器；3 座炮台叠加时输出爆炸</t>
        </is>
      </c>
      <c r="F4" s="8" t="inlineStr">
        <is>
          <t>⚠️高</t>
        </is>
      </c>
      <c r="G4" s="8" t="inlineStr">
        <is>
          <t>炮台 shotCd 0.55→0.8 或 base dmg 8→5，或 maxDeploy 3→2；配合 lvlMult 特殊处理</t>
        </is>
      </c>
      <c r="H4" s="24" t="inlineStr">
        <is>
          <t>✅ v18: MiniMax dmg 8→6 shotCd 0.55→0.75</t>
        </is>
      </c>
    </row>
    <row r="5">
      <c r="A5" s="6" t="n">
        <v>2</v>
      </c>
      <c r="B5" s="6" t="inlineStr">
        <is>
          <t>主武器超模</t>
        </is>
      </c>
      <c r="C5" s="6" t="inlineStr">
        <is>
          <t>月之暗面(mine) 满 build DPS = 2469 (第 2 名)</t>
        </is>
      </c>
      <c r="D5" s="6" t="inlineStr">
        <is>
          <t>18dmg × 2.856 × 2.167 × 2.466 × 1.57 × 2.862 / 0.5 cd = 2469 (100% 触发假设)</t>
        </is>
      </c>
      <c r="E5" s="6" t="inlineStr">
        <is>
          <t>当敌人成群走过雷区(触发率高)时爆炸；实际约 30-50% 触发</t>
        </is>
      </c>
      <c r="F5" s="6" t="inlineStr">
        <is>
          <t>中</t>
        </is>
      </c>
      <c r="G5" s="6" t="inlineStr">
        <is>
          <t>实测触发率若&gt;60% 需调低 base dmg 18→12 或提升 cd 0.5→0.8</t>
        </is>
      </c>
      <c r="H5" s="24" t="inlineStr">
        <is>
          <t>✅ v18: 月之暗面 dmg 18→12 cd 0.5→0.8</t>
        </is>
      </c>
    </row>
    <row r="6">
      <c r="A6" s="8" t="n">
        <v>3</v>
      </c>
      <c r="B6" s="8" t="inlineStr">
        <is>
          <t>主武器欠弱</t>
        </is>
      </c>
      <c r="C6" s="8" t="inlineStr">
        <is>
          <t>Copilot(drone) 满 build DPS = 446 (第 16 名)——只有 Claude 的 26%</t>
        </is>
      </c>
      <c r="D6" s="8" t="inlineStr">
        <is>
          <t>8.5 × 1.749 (drone lvlMult 1.15^4) × 2.167 × 2.466 × 1.57 × 2.862 / 0.8 = 446</t>
        </is>
      </c>
      <c r="E6" s="8" t="inlineStr">
        <is>
          <t>飞机流永远比其他 build 弱</t>
        </is>
      </c>
      <c r="F6" s="8" t="inlineStr">
        <is>
          <t>中</t>
        </is>
      </c>
      <c r="G6" s="8" t="inlineStr">
        <is>
          <t>drone lvlMult 1.15→1.22 或 base dmg 8.5→12；或允许 drone 计 fireRate 之外的加成</t>
        </is>
      </c>
      <c r="H6" s="24" t="inlineStr">
        <is>
          <t>✅ v18: drone grow 1.15→1.2 (Lv.5 lvlMult 2.074)</t>
        </is>
      </c>
    </row>
    <row r="7">
      <c r="A7" s="6" t="n">
        <v>4</v>
      </c>
      <c r="B7" s="6" t="inlineStr">
        <is>
          <t>主武器欠弱</t>
        </is>
      </c>
      <c r="C7" s="6" t="inlineStr">
        <is>
          <t>百川智能(field) DPS = 214 (第 17 名，垫底)</t>
        </is>
      </c>
      <c r="D7" s="6" t="inlineStr">
        <is>
          <t>22 dps × 2.167 pl_dmg × 2.856 lvlMult × 1.57 crit = 214 per target</t>
        </is>
      </c>
      <c r="E7" s="6" t="inlineStr">
        <is>
          <t>燃烧场地虽然可覆盖但对单体 Boss 无优势</t>
        </is>
      </c>
      <c r="F7" s="6" t="inlineStr">
        <is>
          <t>低</t>
        </is>
      </c>
      <c r="G7" s="6" t="inlineStr">
        <is>
          <t>field dps 22→35 或允许 field 也吃 multishot×echo 效果</t>
        </is>
      </c>
      <c r="H7" s="25" t="inlineStr">
        <is>
          <t>⏭️ v18: field dps 22→32 且吃 lvlMult</t>
        </is>
      </c>
    </row>
    <row r="8">
      <c r="A8" s="8" t="n">
        <v>5</v>
      </c>
      <c r="B8" s="8" t="inlineStr">
        <is>
          <t>传说武器整体欠弱</t>
        </is>
      </c>
      <c r="C8" s="8" t="inlineStr">
        <is>
          <t>所有 6 传说 DPS = 82-327，普通武器 Lv.5 是 720-1745——玩家融合传说反而变弱</t>
        </is>
      </c>
      <c r="D8" s="8" t="inlineStr">
        <is>
          <t>传说 lvlMult=1 (硬编码 wpnDmg 里)，无法吃 1.3^4=2.856 倍加成；差距 2.86 倍</t>
        </is>
      </c>
      <c r="E8" s="8" t="inlineStr">
        <is>
          <t>融合系统的设计目的被彻底反转——玩家会拒绝融合</t>
        </is>
      </c>
      <c r="F8" s="8" t="inlineStr">
        <is>
          <t>⚠️极高</t>
        </is>
      </c>
      <c r="G8" s="8" t="inlineStr">
        <is>
          <t>选一：(A) 传说也吃 lvlMult 但融合后 lvl 归 1；(B) 传说 base dmg 全部 ×2.5；(C) 融合时把 lvlMult 一次性固定在 2.856</t>
        </is>
      </c>
      <c r="H8" s="25" t="inlineStr">
        <is>
          <t>⏭️ 未修：需 legendary lvlMult 系统性重设(风险高)</t>
        </is>
      </c>
    </row>
    <row r="9">
      <c r="A9" s="6" t="n">
        <v>6</v>
      </c>
      <c r="B9" s="6" t="inlineStr">
        <is>
          <t>Proc 组合失衡</t>
        </is>
      </c>
      <c r="C9" s="6" t="inlineStr">
        <is>
          <t>onHit 类 4 张(火+冰+毒+吸血) 满级同装 → 每发子弹至少触发一种附魔 = 99.1%</t>
        </is>
      </c>
      <c r="D9" s="6" t="inlineStr">
        <is>
          <t>1 - (1-0.488)(1-0.578)(1-0.657)(1-0.875) = 0.991</t>
        </is>
      </c>
      <c r="E9" s="6" t="inlineStr">
        <is>
          <t>"随机触发"变成"必然触发"，附魔的"随机稀有感"消失</t>
        </is>
      </c>
      <c r="F9" s="6" t="inlineStr">
        <is>
          <t>⚠️高</t>
        </is>
      </c>
      <c r="G9" s="6" t="inlineStr">
        <is>
          <t>给同 hook 类 procs 加"整体触发上限 60%"，或让互斥/共享冷却</t>
        </is>
      </c>
      <c r="H9" s="24" t="inlineStr">
        <is>
          <t>✅ v18: onHit 元素类每次命中最多 1 触发</t>
        </is>
      </c>
    </row>
    <row r="10">
      <c r="A10" s="8" t="n">
        <v>7</v>
      </c>
      <c r="B10" s="8" t="inlineStr">
        <is>
          <t>Proc 触发率异常</t>
        </is>
      </c>
      <c r="C10" s="8" t="inlineStr">
        <is>
          <t>雷电附魔满级触发率 78.4% × 玩家 crit 57% = 44.7%/发</t>
        </is>
      </c>
      <c r="D10" s="8" t="inlineStr">
        <is>
          <t>(1-(1-0.4)^3) × 0.57 = 0.447；DeepSeek 26 shots/sec × 26.2 dmg/触发 = 304 DPS 额外</t>
        </is>
      </c>
      <c r="E10" s="8" t="inlineStr">
        <is>
          <t>雷电附魔单张卡就贡献 300+ DPS，是紫色技能的强度</t>
        </is>
      </c>
      <c r="F10" s="8" t="inlineStr">
        <is>
          <t>中</t>
        </is>
      </c>
      <c r="G10" s="8" t="inlineStr">
        <is>
          <t>雷电基础触发率 40%/层 → 25%/层 (满级 57.8%)；或雷电独立冷却 0.5s</t>
        </is>
      </c>
      <c r="H10" s="24" t="inlineStr">
        <is>
          <t>✅ v18: 基础 40%→25%/层</t>
        </is>
      </c>
    </row>
    <row r="11">
      <c r="A11" s="6" t="n">
        <v>8</v>
      </c>
      <c r="B11" s="6" t="inlineStr">
        <is>
          <t>Proc 语义错误</t>
        </is>
      </c>
      <c r="C11" s="6" t="inlineStr">
        <is>
          <t>复仇圆环 chance=1.0 时 3 层各自 100% 触发，累计反弹 90% 伤害</t>
        </is>
      </c>
      <c r="D11" s="6" t="inlineStr">
        <is>
          <t>3 × 30% = 90% 反弹，玩家近战流几乎不用还手</t>
        </is>
      </c>
      <c r="E11" s="6" t="inlineStr">
        <is>
          <t>受伤反弹机制过强，让"输出反伤流"成为最优解</t>
        </is>
      </c>
      <c r="F11" s="6" t="inlineStr">
        <is>
          <t>⚠️高</t>
        </is>
      </c>
      <c r="G11" s="6" t="inlineStr">
        <is>
          <t>把 chance=1.0 改为分层递减(1.0/0.7/0.5)，或直接改为"叠加 pct，同一 hit 只触发一次"</t>
        </is>
      </c>
      <c r="H11" s="24" t="inlineStr">
        <is>
          <t>✅ v18: 3 层 pct 合并到单 proc</t>
        </is>
      </c>
    </row>
    <row r="12">
      <c r="A12" s="8" t="n">
        <v>9</v>
      </c>
      <c r="B12" s="8" t="inlineStr">
        <is>
          <t>Boss 血量公式</t>
        </is>
      </c>
      <c r="C12" s="8" t="inlineStr">
        <is>
          <t>当前 Boss HP = 9750 (Lv.15 满 build)，玩家 Claude DPS 1745</t>
        </is>
      </c>
      <c r="D12" s="8" t="inlineStr">
        <is>
          <t>9750 / 1745 = 5.59s 击杀；狂暴期约 1745×0.7×0.15/0.7= 261 blocked，实战 4.22s 狂暴期</t>
        </is>
      </c>
      <c r="E12" s="8" t="inlineStr">
        <is>
          <t>狂暴期存在但 Claude 玩家可能仍太快</t>
        </is>
      </c>
      <c r="F12" s="8" t="inlineStr">
        <is>
          <t>中</t>
        </is>
      </c>
      <c r="G12" s="8" t="inlineStr">
        <is>
          <t>考虑 Boss HP 系数再抬 10%，或狂暴期 dmgTaken 0.7→0.55</t>
        </is>
      </c>
      <c r="H12" s="25" t="inlineStr">
        <is>
          <t>⏭️ v18 Fix 1 已修 (Boss HP + 狂暴前置)</t>
        </is>
      </c>
    </row>
    <row r="13">
      <c r="A13" s="6" t="n">
        <v>10</v>
      </c>
      <c r="B13" s="6" t="inlineStr">
        <is>
          <t>副武器输出偏低</t>
        </is>
      </c>
      <c r="C13" s="6" t="inlineStr">
        <is>
          <t>副武器 Lv.3 最高 DPS = 显示器回旋盾 18</t>
        </is>
      </c>
      <c r="D13" s="6" t="inlineStr">
        <is>
          <t>与主武器 1000+ DPS 对比，副武器仅占总输出 1.5%</t>
        </is>
      </c>
      <c r="E13" s="6" t="inlineStr">
        <is>
          <t>副武器变成"装饰品"而非"构筑决定"</t>
        </is>
      </c>
      <c r="F13" s="6" t="inlineStr">
        <is>
          <t>低</t>
        </is>
      </c>
      <c r="G13" s="6" t="inlineStr">
        <is>
          <t>副武器 dmg 值整体 ×2；或副武器也吃 lvlMult 系数</t>
        </is>
      </c>
      <c r="H13" s="25" t="inlineStr">
        <is>
          <t>⏭️ 副武器补强留待后续 (低优先级)</t>
        </is>
      </c>
    </row>
  </sheetData>
  <mergeCells count="1">
    <mergeCell ref="A1:H1"/>
  </mergeCells>
  <conditionalFormatting sqref="F4:F13">
    <cfRule type="cellIs" priority="1" operator="beginsWith" dxfId="0">
      <formula>"⚠️"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2026-07-04T11:57:32Z</dcterms:created>
  <dcterms:modified xmlns:dcterms="http://purl.org/dc/terms/" xmlns:xsi="http://www.w3.org/2001/XMLSchema-instance" xsi:type="dcterms:W3CDTF">2026-07-04T12:41:16Z</dcterms:modified>
</cp:coreProperties>
</file>